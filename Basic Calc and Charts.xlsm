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https://d.docs.live.net/75119466a4748a69/Desktop/"/>
    </mc:Choice>
  </mc:AlternateContent>
  <xr:revisionPtr revIDLastSave="516" documentId="13_ncr:1_{A8CE17DF-E124-44AC-90C2-BE4ED5C9F98B}" xr6:coauthVersionLast="47" xr6:coauthVersionMax="47" xr10:uidLastSave="{A156FA09-DB41-4C5F-AAF0-84251EF05003}"/>
  <bookViews>
    <workbookView xWindow="-120" yWindow="-120" windowWidth="20730" windowHeight="11160" xr2:uid="{00000000-000D-0000-FFFF-FFFF00000000}"/>
  </bookViews>
  <sheets>
    <sheet name="Working_With_Data" sheetId="13" r:id="rId1"/>
    <sheet name="Balance_Sheet" sheetId="4" r:id="rId2"/>
    <sheet name="image" sheetId="5" r:id="rId3"/>
    <sheet name="Chart-Data" sheetId="6" r:id="rId4"/>
    <sheet name="Recommended_Chart" sheetId="7" r:id="rId5"/>
    <sheet name="Pie_Chart" sheetId="8" r:id="rId6"/>
    <sheet name="Column_Chart" sheetId="9" r:id="rId7"/>
    <sheet name="Line_Chart" sheetId="10" r:id="rId8"/>
    <sheet name="Line_Stacked_Line_With_Markers" sheetId="11" r:id="rId9"/>
  </sheets>
  <definedNames>
    <definedName name="Slicer_Region">#N/A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4" l="1"/>
  <c r="A141" i="13" a="1"/>
  <c r="A141" i="13" s="1"/>
  <c r="B8" i="6"/>
  <c r="D27" i="4"/>
  <c r="D42" i="4"/>
  <c r="D33" i="4"/>
  <c r="C10" i="4"/>
  <c r="C18" i="4"/>
  <c r="G4" i="6"/>
  <c r="G5" i="6"/>
  <c r="G6" i="6"/>
  <c r="G7" i="6"/>
  <c r="G3" i="6"/>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85" i="13"/>
  <c r="J86" i="13"/>
  <c r="J87" i="13"/>
  <c r="J88" i="13"/>
  <c r="J89" i="13"/>
  <c r="J90" i="13"/>
  <c r="J91" i="13"/>
  <c r="J92" i="13"/>
  <c r="J93" i="13"/>
  <c r="J94" i="13"/>
  <c r="J95" i="13"/>
  <c r="J96" i="13"/>
  <c r="J97" i="13"/>
  <c r="J98" i="13"/>
  <c r="J99" i="13"/>
  <c r="J100" i="13"/>
  <c r="J101" i="13"/>
  <c r="J102" i="13"/>
  <c r="J103" i="13"/>
  <c r="J104" i="13"/>
  <c r="J105" i="13"/>
  <c r="J106" i="13"/>
  <c r="J107" i="13"/>
  <c r="J108" i="13"/>
  <c r="J109" i="13"/>
  <c r="J110" i="13"/>
  <c r="J111" i="13"/>
  <c r="J112" i="13"/>
  <c r="J113" i="13"/>
  <c r="J114" i="13"/>
  <c r="J115" i="13"/>
  <c r="J116" i="13"/>
  <c r="J117" i="13"/>
  <c r="J118" i="13"/>
  <c r="J119" i="13"/>
  <c r="J120" i="13"/>
  <c r="J121" i="13"/>
  <c r="J122" i="13"/>
  <c r="J123" i="13"/>
  <c r="J124" i="13"/>
  <c r="J125" i="13"/>
  <c r="J126" i="13"/>
  <c r="J127" i="13"/>
  <c r="J128" i="13"/>
  <c r="J129" i="13"/>
  <c r="J130" i="13"/>
  <c r="J131" i="13"/>
  <c r="J132" i="13"/>
  <c r="J133" i="13"/>
  <c r="J134" i="13"/>
  <c r="J135" i="13"/>
  <c r="J136" i="13"/>
  <c r="J137" i="13"/>
  <c r="J138" i="13"/>
  <c r="J139" i="13"/>
  <c r="J140" i="13"/>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C2" i="6"/>
  <c r="D2" i="6" s="1"/>
  <c r="E2" i="6" s="1"/>
  <c r="F2" i="6" s="1"/>
  <c r="F8" i="6" s="1"/>
  <c r="G8" i="6" l="1"/>
  <c r="D8" i="6"/>
  <c r="C8" i="6"/>
  <c r="E8" i="6"/>
  <c r="D19" i="4"/>
  <c r="D35"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<sst xmlns="http://schemas.openxmlformats.org/spreadsheetml/2006/main" count="342" uniqueCount="66">
  <si>
    <t>Fixed Assets</t>
  </si>
  <si>
    <t>Land and Buildings</t>
  </si>
  <si>
    <t>Motor Vehicles</t>
  </si>
  <si>
    <t>Computers</t>
  </si>
  <si>
    <t>Furniture</t>
  </si>
  <si>
    <t>Machinery</t>
  </si>
  <si>
    <t>Total Fixed Assets</t>
  </si>
  <si>
    <t>Depreciation</t>
  </si>
  <si>
    <t>Total Depreciation</t>
  </si>
  <si>
    <t>Value of fixed assets</t>
  </si>
  <si>
    <t>Current assets</t>
  </si>
  <si>
    <t>Bank Account - Current</t>
  </si>
  <si>
    <t>Bank Account - Savings</t>
  </si>
  <si>
    <t>Cash</t>
  </si>
  <si>
    <t>Prepayments</t>
  </si>
  <si>
    <t>Accounts Receivable</t>
  </si>
  <si>
    <t>Total Current Assets</t>
  </si>
  <si>
    <t>Less Current Liabilities</t>
  </si>
  <si>
    <t>Accounts Payable</t>
  </si>
  <si>
    <t>Loan</t>
  </si>
  <si>
    <t>Accruals</t>
  </si>
  <si>
    <t>Total Current Liabilities</t>
  </si>
  <si>
    <t>Net Assets</t>
  </si>
  <si>
    <t>Equity</t>
  </si>
  <si>
    <t>Opening Balance</t>
  </si>
  <si>
    <t>Shareholder funds</t>
  </si>
  <si>
    <t>Retained Earnings</t>
  </si>
  <si>
    <t>Drawings</t>
  </si>
  <si>
    <t>Total Equity</t>
  </si>
  <si>
    <t>Replace those 0,00 with some imaginary numbers.</t>
  </si>
  <si>
    <t>Annual Sales (in thousands)</t>
  </si>
  <si>
    <t>Average</t>
  </si>
  <si>
    <t>Coffee and Espresso</t>
  </si>
  <si>
    <t>Bakery</t>
  </si>
  <si>
    <t>Coffee Accessories</t>
  </si>
  <si>
    <t>Packaged Coffee/Tea</t>
  </si>
  <si>
    <t>Deli</t>
  </si>
  <si>
    <t>Total Sales</t>
  </si>
  <si>
    <t>Usage statistics</t>
  </si>
  <si>
    <t>Giant Frog Supermarkets - District # 0855</t>
  </si>
  <si>
    <t>Period of 1 July - 31 August 2013</t>
  </si>
  <si>
    <t>Kb/sec</t>
  </si>
  <si>
    <t>Mb</t>
  </si>
  <si>
    <t>Date</t>
  </si>
  <si>
    <t>Department</t>
  </si>
  <si>
    <t>Region</t>
  </si>
  <si>
    <t>Avg. Bandwidth</t>
  </si>
  <si>
    <t>Data In</t>
  </si>
  <si>
    <t>Data Out</t>
  </si>
  <si>
    <t>Transactions</t>
  </si>
  <si>
    <t>Merchandising</t>
  </si>
  <si>
    <t>North</t>
  </si>
  <si>
    <t>South</t>
  </si>
  <si>
    <t>Central</t>
  </si>
  <si>
    <t>Purchasing</t>
  </si>
  <si>
    <t>Distribution</t>
  </si>
  <si>
    <t>Accounting</t>
  </si>
  <si>
    <t>Point of sale</t>
  </si>
  <si>
    <t>Data to add</t>
  </si>
  <si>
    <t>Distibution</t>
  </si>
  <si>
    <t>Point of Sale</t>
  </si>
  <si>
    <t>Min Avg. Bandwidth</t>
  </si>
  <si>
    <t>Max Avg. Bandwidth</t>
  </si>
  <si>
    <t>Total Data in &amp; Out</t>
  </si>
  <si>
    <t>Global Tech Solutions</t>
  </si>
  <si>
    <t>50236‎€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</si>
</sst>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_(&quot;$&quot;* \(#,##0.00\);_(&quot;$&quot;* &quot;-&quot;??_);_(@_)"/>
    <numFmt numFmtId="165" formatCode="_(&quot;$&quot;* #,##0_);_(&quot;$&quot;* \(#,##0\);_(&quot;$&quot;* &quot;-&quot;??_);_(@_)"/>
    <numFmt numFmtId="166" formatCode="d\ mmm"/>
    <numFmt numFmtId="167" formatCode="0.0"/>
    <numFmt numFmtId="168" formatCode="#,##0.00\ [$€-1]"/>
    <numFmt numFmtId="169" formatCode="#,##0.00\ [$€-40B]"/>
    <numFmt numFmtId="170" formatCode="#,##0.00\ [$€-40B];\-#,##0.00\ [$€-40B]"/>
    <numFmt numFmtId="171" formatCode="_-[$$-1009]* #,##0.00_-;\-[$$-1009]* #,##0.00_-;_-[$$-1009]* &quot;-&quot;??_-;_-@_-"/>
    <numFmt numFmtId="172" formatCode="dd/mm"/>
  </numFmts>
  <fonts count="12"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0"/>
      <color theme="1"/>
      <name val="Calibri"/>
      <family val="2"/>
      <scheme val="minor"/>
    </font>
    <font>
      <b/>
      <sz val="18"/>
      <color theme="1"/>
      <name val="Calibri"/>
      <family val="2"/>
      <scheme val="minor"/>
    </font>
    <font>
      <b/>
      <sz val="14"/>
      <color theme="1"/>
      <name val="Calibri"/>
      <family val="2"/>
      <scheme val="minor"/>
    </font>
    <font>
      <sz val="10"/>
      <name val="Trebuchet MS"/>
      <family val="2"/>
    </font>
    <font>
      <b/>
      <sz val="20"/>
      <color indexed="10"/>
      <name val="Trebuchet MS"/>
      <family val="2"/>
    </font>
    <font>
      <sz val="7"/>
      <color indexed="16"/>
      <name val="Trebuchet MS"/>
      <family val="2"/>
    </font>
    <font>
      <sz val="10"/>
      <color indexed="16"/>
      <name val="Trebuchet MS"/>
      <family val="2"/>
    </font>
    <font>
      <b/>
      <sz val="12"/>
      <color rgb="FF000000"/>
      <name val="Calibri"/>
      <family val="2"/>
    </font>
  </fonts>
  <fills count="14">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B0F0D9"/>
        <bgColor indexed="42"/>
      </patternFill>
    </fill>
    <fill>
      <patternFill patternType="solid">
        <fgColor rgb="FFF7F2AF"/>
        <bgColor rgb="FFFFFFA3"/>
      </patternFill>
    </fill>
    <fill>
      <patternFill patternType="solid">
        <fgColor rgb="FFEBAA85"/>
        <bgColor auto="1"/>
      </patternFill>
    </fill>
    <fill>
      <patternFill patternType="mediumGray">
        <fgColor indexed="26"/>
        <bgColor indexed="51"/>
      </patternFill>
    </fill>
    <fill>
      <patternFill patternType="lightGray">
        <fgColor indexed="29"/>
        <bgColor indexed="26"/>
      </patternFill>
    </fill>
    <fill>
      <patternFill patternType="mediumGray">
        <fgColor indexed="31"/>
        <bgColor indexed="42"/>
      </patternFill>
    </fill>
    <fill>
      <patternFill patternType="solid">
        <fgColor theme="4" tint="0.39997558519241921"/>
        <bgColor indexed="64"/>
      </patternFill>
    </fill>
    <fill>
      <patternFill patternType="solid">
        <fgColor theme="2"/>
        <bgColor indexed="64"/>
      </patternFill>
    </fill>
    <fill>
      <patternFill patternType="solid">
        <fgColor theme="9" tint="0.79998168889431442"/>
        <bgColor indexed="64"/>
      </patternFill>
    </fill>
  </fills>
  <borders count="13">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style="thin">
        <color indexed="64"/>
      </top>
      <bottom style="double">
        <color indexed="64"/>
      </bottom>
      <diagonal/>
    </border>
    <border>
      <left style="medium">
        <color indexed="27"/>
      </left>
      <right style="medium">
        <color indexed="27"/>
      </right>
      <top/>
      <bottom style="medium">
        <color indexed="27"/>
      </bottom>
      <diagonal/>
    </border>
    <border>
      <left/>
      <right style="medium">
        <color indexed="27"/>
      </right>
      <top style="medium">
        <color indexed="27"/>
      </top>
      <bottom style="medium">
        <color indexed="27"/>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top/>
      <bottom style="medium">
        <color indexed="64"/>
      </bottom>
      <diagonal/>
    </border>
  </borders>
  <cellStyleXfs count="9">
    <xf numFmtId="0" fontId="0" fillId="0" borderId="0"/>
    <xf numFmtId="0" fontId="3" fillId="2" borderId="0" applyNumberFormat="0" applyBorder="0" applyProtection="0"/>
    <xf numFmtId="0" fontId="1" fillId="3" borderId="2"/>
    <xf numFmtId="0" fontId="1" fillId="3" borderId="0"/>
    <xf numFmtId="0" fontId="1" fillId="4" borderId="1"/>
    <xf numFmtId="0" fontId="1" fillId="3" borderId="2"/>
    <xf numFmtId="0" fontId="1" fillId="0" borderId="0"/>
    <xf numFmtId="0" fontId="1" fillId="0" borderId="0"/>
    <xf numFmtId="164" fontId="1" fillId="0" borderId="0" applyFont="0" applyFill="0" applyBorder="0" applyAlignment="0" applyProtection="0"/>
  </cellStyleXfs>
  <cellXfs count="50">
    <xf numFmtId="0" fontId="0" fillId="0" borderId="0" xfId="0"/>
    <xf numFmtId="166" fontId="7" fillId="5" borderId="0" xfId="0" applyNumberFormat="1" applyFont="1" applyFill="1" applyBorder="1" applyAlignment="1">
      <alignment horizontal="center"/>
    </xf>
    <xf numFmtId="0" fontId="7" fillId="5" borderId="0" xfId="0" applyFont="1" applyFill="1" applyBorder="1"/>
    <xf numFmtId="0" fontId="8" fillId="5" borderId="0" xfId="0" applyFont="1" applyFill="1" applyBorder="1" applyAlignment="1">
      <alignment vertical="center"/>
    </xf>
    <xf numFmtId="0" fontId="0" fillId="5" borderId="0" xfId="0" applyFont="1" applyFill="1" applyBorder="1"/>
    <xf numFmtId="166" fontId="9" fillId="6" borderId="0" xfId="0" applyNumberFormat="1" applyFont="1" applyFill="1" applyBorder="1" applyAlignment="1">
      <alignment horizontal="center"/>
    </xf>
    <xf numFmtId="0" fontId="9" fillId="6" borderId="0" xfId="0" applyFont="1" applyFill="1" applyBorder="1" applyAlignment="1">
      <alignment horizontal="center"/>
    </xf>
    <xf numFmtId="166" fontId="10" fillId="6" borderId="0" xfId="0" applyNumberFormat="1" applyFont="1" applyFill="1" applyBorder="1" applyAlignment="1">
      <alignment horizontal="center"/>
    </xf>
    <xf numFmtId="0" fontId="10" fillId="6" borderId="0" xfId="0" applyFont="1" applyFill="1" applyBorder="1" applyAlignment="1">
      <alignment horizontal="center"/>
    </xf>
    <xf numFmtId="166" fontId="7" fillId="7" borderId="0" xfId="0" applyNumberFormat="1" applyFont="1" applyFill="1" applyBorder="1" applyAlignment="1">
      <alignment horizontal="center"/>
    </xf>
    <xf numFmtId="0" fontId="7" fillId="8" borderId="0" xfId="0" applyFont="1" applyFill="1" applyBorder="1" applyAlignment="1">
      <alignment horizontal="right"/>
    </xf>
    <xf numFmtId="0" fontId="7" fillId="9" borderId="0" xfId="0" applyFont="1" applyFill="1" applyBorder="1"/>
    <xf numFmtId="167" fontId="0" fillId="0" borderId="0" xfId="0" applyNumberFormat="1"/>
    <xf numFmtId="0" fontId="7" fillId="10" borderId="4" xfId="0" applyFont="1" applyFill="1" applyBorder="1"/>
    <xf numFmtId="0" fontId="7" fillId="10" borderId="0" xfId="0" applyFont="1" applyFill="1"/>
    <xf numFmtId="16" fontId="0" fillId="0" borderId="0" xfId="0" applyNumberFormat="1"/>
    <xf numFmtId="0" fontId="7" fillId="0" borderId="0" xfId="0" applyFont="1"/>
    <xf numFmtId="0" fontId="7" fillId="0" borderId="5" xfId="0" applyFont="1" applyBorder="1"/>
    <xf numFmtId="0" fontId="7" fillId="0" borderId="4" xfId="0" applyFont="1" applyFill="1" applyBorder="1"/>
    <xf numFmtId="0" fontId="7" fillId="0" borderId="0" xfId="0" applyFont="1" applyFill="1"/>
    <xf numFmtId="0" fontId="10" fillId="6" borderId="0" xfId="0" applyFont="1" applyFill="1" applyAlignment="1">
      <alignment horizontal="center"/>
    </xf>
    <xf numFmtId="14" fontId="0" fillId="0" borderId="0" xfId="0" applyNumberFormat="1"/>
    <xf numFmtId="168" fontId="2" fillId="0" borderId="3" xfId="0" applyNumberFormat="1" applyFont="1" applyBorder="1"/>
    <xf numFmtId="0" fontId="0" fillId="0" borderId="6" xfId="0" applyBorder="1"/>
    <xf numFmtId="168" fontId="0" fillId="0" borderId="6" xfId="0" applyNumberFormat="1" applyBorder="1"/>
    <xf numFmtId="0" fontId="2" fillId="0" borderId="3" xfId="0" applyFont="1" applyBorder="1"/>
    <xf numFmtId="2" fontId="0" fillId="0" borderId="3" xfId="0" applyNumberFormat="1" applyBorder="1"/>
    <xf numFmtId="168" fontId="0" fillId="0" borderId="6" xfId="0" applyNumberFormat="1" applyBorder="1" applyAlignment="1">
      <alignment horizontal="right"/>
    </xf>
    <xf numFmtId="169" fontId="0" fillId="0" borderId="6" xfId="0" applyNumberFormat="1" applyBorder="1"/>
    <xf numFmtId="170" fontId="0" fillId="0" borderId="6" xfId="0" applyNumberFormat="1" applyBorder="1"/>
    <xf numFmtId="0" fontId="2" fillId="0" borderId="6" xfId="0" applyFont="1" applyBorder="1"/>
    <xf numFmtId="0" fontId="2" fillId="0" borderId="7" xfId="0" applyFont="1" applyBorder="1"/>
    <xf numFmtId="0" fontId="0" fillId="0" borderId="7" xfId="0" applyBorder="1"/>
    <xf numFmtId="168" fontId="2" fillId="0" borderId="7" xfId="0" applyNumberFormat="1" applyFont="1" applyBorder="1"/>
    <xf numFmtId="2" fontId="0" fillId="0" borderId="6" xfId="0" applyNumberFormat="1" applyBorder="1"/>
    <xf numFmtId="168" fontId="0" fillId="0" borderId="6" xfId="0" applyNumberFormat="1" applyFont="1" applyBorder="1"/>
    <xf numFmtId="168" fontId="0" fillId="0" borderId="3" xfId="0" applyNumberFormat="1" applyBorder="1"/>
    <xf numFmtId="0" fontId="0" fillId="0" borderId="3" xfId="0" applyBorder="1"/>
    <xf numFmtId="0" fontId="2" fillId="0" borderId="11" xfId="0" applyFont="1" applyBorder="1"/>
    <xf numFmtId="0" fontId="0" fillId="0" borderId="11" xfId="0" applyBorder="1"/>
    <xf numFmtId="10" fontId="2" fillId="0" borderId="11" xfId="0" applyNumberFormat="1" applyFont="1" applyBorder="1"/>
    <xf numFmtId="165" fontId="0" fillId="0" borderId="11" xfId="8" applyNumberFormat="1" applyFont="1" applyBorder="1"/>
    <xf numFmtId="171" fontId="0" fillId="0" borderId="11" xfId="8" applyNumberFormat="1" applyFont="1" applyBorder="1"/>
    <xf numFmtId="172" fontId="7" fillId="7" borderId="0" xfId="0" applyNumberFormat="1" applyFont="1" applyFill="1" applyBorder="1" applyAlignment="1">
      <alignment horizontal="center"/>
    </xf>
    <xf numFmtId="0" fontId="6" fillId="11" borderId="8" xfId="0" applyFont="1" applyFill="1" applyBorder="1" applyAlignment="1">
      <alignment horizontal="center"/>
    </xf>
    <xf numFmtId="0" fontId="6" fillId="11" borderId="9" xfId="0" applyFont="1" applyFill="1" applyBorder="1" applyAlignment="1">
      <alignment horizontal="center"/>
    </xf>
    <xf numFmtId="0" fontId="6" fillId="11" borderId="10" xfId="0" applyFont="1" applyFill="1" applyBorder="1" applyAlignment="1">
      <alignment horizontal="center"/>
    </xf>
    <xf numFmtId="0" fontId="4" fillId="12" borderId="12" xfId="0" applyFont="1" applyFill="1" applyBorder="1" applyAlignment="1">
      <alignment horizontal="center"/>
    </xf>
    <xf numFmtId="14" fontId="5" fillId="13" borderId="0" xfId="0" applyNumberFormat="1" applyFont="1" applyFill="1" applyBorder="1" applyAlignment="1">
      <alignment horizontal="center"/>
    </xf>
    <xf numFmtId="0" fontId="2" fillId="0" borderId="11" xfId="0" applyFont="1" applyBorder="1" applyAlignment="1">
      <alignment horizontal="center"/>
    </xf>
  </cellXfs>
  <cellStyles count="9">
    <cellStyle name="Currency" xfId="8" builtinId="4"/>
    <cellStyle name="GrayCell 2 2" xfId="3" xr:uid="{00000000-0005-0000-0000-000000000000}"/>
    <cellStyle name="Heading 3 2" xfId="1" xr:uid="{00000000-0005-0000-0000-000001000000}"/>
    <cellStyle name="Normal" xfId="0" builtinId="0"/>
    <cellStyle name="Normal 2" xfId="7" xr:uid="{00000000-0005-0000-0000-000003000000}"/>
    <cellStyle name="Normal 3" xfId="6" xr:uid="{00000000-0005-0000-0000-000004000000}"/>
    <cellStyle name="OrangeBorder" xfId="2" xr:uid="{00000000-0005-0000-0000-000005000000}"/>
    <cellStyle name="OrangeBorder 2" xfId="5" xr:uid="{00000000-0005-0000-0000-000006000000}"/>
    <cellStyle name="YellowCell 2 2" xfId="4" xr:uid="{00000000-0005-0000-0000-000007000000}"/>
  </cellStyles>
  <dxfs count="18">
    <dxf>
      <font>
        <b val="0"/>
        <i val="0"/>
        <strike val="0"/>
        <condense val="0"/>
        <extend val="0"/>
        <outline val="0"/>
        <shadow val="0"/>
        <u val="none"/>
        <vertAlign val="baseline"/>
        <sz val="10"/>
        <color auto="1"/>
        <name val="Trebuchet MS"/>
        <family val="2"/>
        <scheme val="none"/>
      </font>
      <border diagonalUp="0" diagonalDown="0">
        <left/>
        <right/>
        <top/>
        <bottom/>
      </border>
    </dxf>
    <dxf>
      <numFmt numFmtId="0" formatCode="General"/>
    </dxf>
    <dxf>
      <font>
        <b val="0"/>
        <i val="0"/>
        <strike val="0"/>
        <condense val="0"/>
        <extend val="0"/>
        <outline val="0"/>
        <shadow val="0"/>
        <u val="none"/>
        <vertAlign val="baseline"/>
        <sz val="10"/>
        <color auto="1"/>
        <name val="Trebuchet MS"/>
        <family val="2"/>
        <scheme val="none"/>
      </font>
      <border diagonalUp="0" diagonalDown="0">
        <left/>
        <right/>
        <top/>
        <bottom/>
      </border>
    </dxf>
    <dxf>
      <numFmt numFmtId="167" formatCode="0.0"/>
    </dxf>
    <dxf>
      <font>
        <b val="0"/>
        <i val="0"/>
        <strike val="0"/>
        <condense val="0"/>
        <extend val="0"/>
        <outline val="0"/>
        <shadow val="0"/>
        <u val="none"/>
        <vertAlign val="baseline"/>
        <sz val="10"/>
        <color auto="1"/>
        <name val="Trebuchet MS"/>
        <family val="2"/>
        <scheme val="none"/>
      </font>
      <border diagonalUp="0" diagonalDown="0" outline="0">
        <left/>
        <right/>
        <top/>
        <bottom/>
      </border>
    </dxf>
    <dxf>
      <numFmt numFmtId="0" formatCode="General"/>
    </dxf>
    <dxf>
      <font>
        <b val="0"/>
        <i val="0"/>
        <strike val="0"/>
        <condense val="0"/>
        <extend val="0"/>
        <outline val="0"/>
        <shadow val="0"/>
        <u val="none"/>
        <vertAlign val="baseline"/>
        <sz val="10"/>
        <color auto="1"/>
        <name val="Trebuchet MS"/>
        <family val="2"/>
        <scheme val="none"/>
      </font>
      <border diagonalUp="0" diagonalDown="0" outline="0">
        <left/>
        <right/>
        <top/>
        <bottom/>
      </border>
    </dxf>
    <dxf>
      <font>
        <b val="0"/>
        <i val="0"/>
        <strike val="0"/>
        <condense val="0"/>
        <extend val="0"/>
        <outline val="0"/>
        <shadow val="0"/>
        <u val="none"/>
        <vertAlign val="baseline"/>
        <sz val="10"/>
        <color auto="1"/>
        <name val="Trebuchet MS"/>
        <family val="2"/>
        <scheme val="none"/>
      </font>
      <border diagonalUp="0" diagonalDown="0" outline="0">
        <left/>
        <right/>
        <top/>
        <bottom/>
      </border>
    </dxf>
    <dxf>
      <font>
        <b val="0"/>
        <i val="0"/>
        <strike val="0"/>
        <condense val="0"/>
        <extend val="0"/>
        <outline val="0"/>
        <shadow val="0"/>
        <u val="none"/>
        <vertAlign val="baseline"/>
        <sz val="10"/>
        <color auto="1"/>
        <name val="Trebuchet MS"/>
        <family val="2"/>
        <scheme val="none"/>
      </font>
      <border diagonalUp="0" diagonalDown="0" outline="0">
        <left/>
        <right/>
        <top/>
        <bottom/>
      </border>
    </dxf>
    <dxf>
      <font>
        <b val="0"/>
        <i val="0"/>
        <strike val="0"/>
        <condense val="0"/>
        <extend val="0"/>
        <outline val="0"/>
        <shadow val="0"/>
        <u val="none"/>
        <vertAlign val="baseline"/>
        <sz val="10"/>
        <color auto="1"/>
        <name val="Trebuchet MS"/>
        <family val="2"/>
        <scheme val="none"/>
      </font>
      <numFmt numFmtId="167" formatCode="0.0"/>
      <border diagonalUp="0" diagonalDown="0" outline="0">
        <left/>
        <right style="medium">
          <color indexed="27"/>
        </right>
        <top style="medium">
          <color indexed="27"/>
        </top>
        <bottom/>
      </border>
    </dxf>
    <dxf>
      <numFmt numFmtId="167" formatCode="0.0"/>
    </dxf>
    <dxf>
      <font>
        <b val="0"/>
        <i val="0"/>
        <strike val="0"/>
        <condense val="0"/>
        <extend val="0"/>
        <outline val="0"/>
        <shadow val="0"/>
        <u val="none"/>
        <vertAlign val="baseline"/>
        <sz val="10"/>
        <color auto="1"/>
        <name val="Trebuchet MS"/>
        <family val="2"/>
        <scheme val="none"/>
      </font>
      <fill>
        <patternFill patternType="lightGray">
          <fgColor indexed="29"/>
          <bgColor indexed="26"/>
        </patternFill>
      </fill>
      <border diagonalUp="0" diagonalDown="0" outline="0">
        <left/>
        <right/>
        <top/>
        <bottom/>
      </border>
    </dxf>
    <dxf>
      <font>
        <b val="0"/>
        <i val="0"/>
        <strike val="0"/>
        <condense val="0"/>
        <extend val="0"/>
        <outline val="0"/>
        <shadow val="0"/>
        <u val="none"/>
        <vertAlign val="baseline"/>
        <sz val="10"/>
        <color auto="1"/>
        <name val="Trebuchet MS"/>
        <family val="2"/>
        <scheme val="none"/>
      </font>
      <fill>
        <patternFill patternType="lightGray">
          <fgColor indexed="29"/>
          <bgColor indexed="26"/>
        </patternFill>
      </fill>
    </dxf>
    <dxf>
      <font>
        <b val="0"/>
        <i val="0"/>
        <strike val="0"/>
        <condense val="0"/>
        <extend val="0"/>
        <outline val="0"/>
        <shadow val="0"/>
        <u val="none"/>
        <vertAlign val="baseline"/>
        <sz val="10"/>
        <color auto="1"/>
        <name val="Trebuchet MS"/>
        <family val="2"/>
        <scheme val="none"/>
      </font>
      <fill>
        <patternFill patternType="mediumGray">
          <fgColor indexed="26"/>
          <bgColor indexed="51"/>
        </patternFill>
      </fill>
      <alignment horizontal="righ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Trebuchet MS"/>
        <family val="2"/>
        <scheme val="none"/>
      </font>
      <fill>
        <patternFill patternType="mediumGray">
          <fgColor indexed="26"/>
          <bgColor indexed="51"/>
        </patternFill>
      </fill>
      <alignment horizontal="right" vertical="bottom" textRotation="0" wrapText="0" indent="0" justifyLastLine="0" shrinkToFit="0" readingOrder="0"/>
    </dxf>
    <dxf>
      <font>
        <b val="0"/>
        <i val="0"/>
        <strike val="0"/>
        <condense val="0"/>
        <extend val="0"/>
        <outline val="0"/>
        <shadow val="0"/>
        <u val="none"/>
        <vertAlign val="baseline"/>
        <sz val="10"/>
        <color auto="1"/>
        <name val="Trebuchet MS"/>
        <family val="2"/>
        <scheme val="none"/>
      </font>
      <numFmt numFmtId="166" formatCode="d\ mmm"/>
      <fill>
        <patternFill patternType="solid">
          <fgColor indexed="64"/>
          <bgColor rgb="FFEBAA8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Trebuchet MS"/>
        <family val="2"/>
        <scheme val="none"/>
      </font>
      <numFmt numFmtId="172" formatCode="dd/mm"/>
      <fill>
        <patternFill patternType="solid">
          <fgColor indexed="64"/>
          <bgColor rgb="FFEBAA8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16"/>
        <name val="Trebuchet MS"/>
        <family val="2"/>
        <scheme val="none"/>
      </font>
      <fill>
        <patternFill patternType="solid">
          <fgColor rgb="FFFFFFA3"/>
          <bgColor rgb="FFF7F2AF"/>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CA"/>
              <a:t>Annual Sales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'Chart-Data'!$A$3</c:f>
              <c:strCache>
                <c:ptCount val="1"/>
                <c:pt idx="0">
                  <c:v>Coffee and Espresso</c:v>
                </c:pt>
              </c:strCache>
            </c:strRef>
          </c:tx>
          <c:spPr>
            <a:ln w="22225" cap="rnd">
              <a:solidFill>
                <a:schemeClr val="accent1"/>
              </a:solidFill>
            </a:ln>
            <a:effectLst>
              <a:glow rad="139700">
                <a:schemeClr val="accent1">
                  <a:satMod val="175000"/>
                  <a:alpha val="14000"/>
                </a:schemeClr>
              </a:glow>
            </a:effectLst>
          </c:spPr>
          <c:marker>
            <c:symbol val="none"/>
          </c:marker>
          <c:cat>
            <c:numRef>
              <c:f>'Chart-Data'!$B$2:$F$2</c:f>
              <c:numCache>
                <c:formatCode>General</c:formatCode>
                <c:ptCount val="5"/>
                <c:pt idx="0">
                  <c:v>2010</c:v>
                </c:pt>
                <c:pt idx="1">
                  <c:v>2011</c:v>
                </c:pt>
                <c:pt idx="2">
                  <c:v>2012</c:v>
                </c:pt>
                <c:pt idx="3">
                  <c:v>2013</c:v>
                </c:pt>
                <c:pt idx="4">
                  <c:v>2014</c:v>
                </c:pt>
              </c:numCache>
            </c:numRef>
          </c:cat>
          <c:val>
            <c:numRef>
              <c:f>'Chart-Data'!$B$3:$F$3</c:f>
              <c:numCache>
                <c:formatCode>General</c:formatCode>
                <c:ptCount val="5"/>
                <c:pt idx="0">
                  <c:v>802</c:v>
                </c:pt>
                <c:pt idx="1">
                  <c:v>950</c:v>
                </c:pt>
                <c:pt idx="2">
                  <c:v>1015</c:v>
                </c:pt>
                <c:pt idx="3">
                  <c:v>1050</c:v>
                </c:pt>
                <c:pt idx="4">
                  <c:v>1385</c:v>
                </c:pt>
              </c:numCache>
            </c:numRef>
          </c:val>
          <c:smooth val="0"/>
          <c:extLst>
            <c:ext xmlns:c16="http://schemas.microsoft.com/office/drawing/2014/chart" uri="{C3380CC4-5D6E-409C-BE32-E72D297353CC}">
              <c16:uniqueId val="{00000000-1859-4377-A4C4-0A7530BFE58C}"/>
            </c:ext>
          </c:extLst>
        </c:ser>
        <c:ser>
          <c:idx val="1"/>
          <c:order val="1"/>
          <c:tx>
            <c:strRef>
              <c:f>'Chart-Data'!$A$4</c:f>
              <c:strCache>
                <c:ptCount val="1"/>
                <c:pt idx="0">
                  <c:v>Bakery</c:v>
                </c:pt>
              </c:strCache>
            </c:strRef>
          </c:tx>
          <c:spPr>
            <a:ln w="22225" cap="rnd">
              <a:solidFill>
                <a:schemeClr val="accent2"/>
              </a:solidFill>
            </a:ln>
            <a:effectLst>
              <a:glow rad="139700">
                <a:schemeClr val="accent2">
                  <a:satMod val="175000"/>
                  <a:alpha val="14000"/>
                </a:schemeClr>
              </a:glow>
            </a:effectLst>
          </c:spPr>
          <c:marker>
            <c:symbol val="none"/>
          </c:marker>
          <c:cat>
            <c:numRef>
              <c:f>'Chart-Data'!$B$2:$F$2</c:f>
              <c:numCache>
                <c:formatCode>General</c:formatCode>
                <c:ptCount val="5"/>
                <c:pt idx="0">
                  <c:v>2010</c:v>
                </c:pt>
                <c:pt idx="1">
                  <c:v>2011</c:v>
                </c:pt>
                <c:pt idx="2">
                  <c:v>2012</c:v>
                </c:pt>
                <c:pt idx="3">
                  <c:v>2013</c:v>
                </c:pt>
                <c:pt idx="4">
                  <c:v>2014</c:v>
                </c:pt>
              </c:numCache>
            </c:numRef>
          </c:cat>
          <c:val>
            <c:numRef>
              <c:f>'Chart-Data'!$B$4:$F$4</c:f>
              <c:numCache>
                <c:formatCode>General</c:formatCode>
                <c:ptCount val="5"/>
                <c:pt idx="0">
                  <c:v>352</c:v>
                </c:pt>
                <c:pt idx="1">
                  <c:v>325</c:v>
                </c:pt>
                <c:pt idx="2">
                  <c:v>302</c:v>
                </c:pt>
                <c:pt idx="3">
                  <c:v>250</c:v>
                </c:pt>
                <c:pt idx="4">
                  <c:v>150</c:v>
                </c:pt>
              </c:numCache>
            </c:numRef>
          </c:val>
          <c:smooth val="0"/>
          <c:extLst>
            <c:ext xmlns:c16="http://schemas.microsoft.com/office/drawing/2014/chart" uri="{C3380CC4-5D6E-409C-BE32-E72D297353CC}">
              <c16:uniqueId val="{00000001-1859-4377-A4C4-0A7530BFE58C}"/>
            </c:ext>
          </c:extLst>
        </c:ser>
        <c:ser>
          <c:idx val="2"/>
          <c:order val="2"/>
          <c:tx>
            <c:strRef>
              <c:f>'Chart-Data'!$A$5</c:f>
              <c:strCache>
                <c:ptCount val="1"/>
                <c:pt idx="0">
                  <c:v>Coffee Accessories</c:v>
                </c:pt>
              </c:strCache>
            </c:strRef>
          </c:tx>
          <c:spPr>
            <a:ln w="22225" cap="rnd">
              <a:solidFill>
                <a:schemeClr val="accent3"/>
              </a:solidFill>
            </a:ln>
            <a:effectLst>
              <a:glow rad="139700">
                <a:schemeClr val="accent3">
                  <a:satMod val="175000"/>
                  <a:alpha val="14000"/>
                </a:schemeClr>
              </a:glow>
            </a:effectLst>
          </c:spPr>
          <c:marker>
            <c:symbol val="none"/>
          </c:marker>
          <c:cat>
            <c:numRef>
              <c:f>'Chart-Data'!$B$2:$F$2</c:f>
              <c:numCache>
                <c:formatCode>General</c:formatCode>
                <c:ptCount val="5"/>
                <c:pt idx="0">
                  <c:v>2010</c:v>
                </c:pt>
                <c:pt idx="1">
                  <c:v>2011</c:v>
                </c:pt>
                <c:pt idx="2">
                  <c:v>2012</c:v>
                </c:pt>
                <c:pt idx="3">
                  <c:v>2013</c:v>
                </c:pt>
                <c:pt idx="4">
                  <c:v>2014</c:v>
                </c:pt>
              </c:numCache>
            </c:numRef>
          </c:cat>
          <c:val>
            <c:numRef>
              <c:f>'Chart-Data'!$B$5:$F$5</c:f>
              <c:numCache>
                <c:formatCode>General</c:formatCode>
                <c:ptCount val="5"/>
                <c:pt idx="0">
                  <c:v>15</c:v>
                </c:pt>
                <c:pt idx="1">
                  <c:v>75</c:v>
                </c:pt>
                <c:pt idx="2">
                  <c:v>280</c:v>
                </c:pt>
                <c:pt idx="3">
                  <c:v>402</c:v>
                </c:pt>
                <c:pt idx="4">
                  <c:v>658</c:v>
                </c:pt>
              </c:numCache>
            </c:numRef>
          </c:val>
          <c:smooth val="0"/>
          <c:extLst>
            <c:ext xmlns:c16="http://schemas.microsoft.com/office/drawing/2014/chart" uri="{C3380CC4-5D6E-409C-BE32-E72D297353CC}">
              <c16:uniqueId val="{00000002-1859-4377-A4C4-0A7530BFE58C}"/>
            </c:ext>
          </c:extLst>
        </c:ser>
        <c:ser>
          <c:idx val="3"/>
          <c:order val="3"/>
          <c:tx>
            <c:strRef>
              <c:f>'Chart-Data'!$A$6</c:f>
              <c:strCache>
                <c:ptCount val="1"/>
                <c:pt idx="0">
                  <c:v>Packaged Coffee/Tea</c:v>
                </c:pt>
              </c:strCache>
            </c:strRef>
          </c:tx>
          <c:spPr>
            <a:ln w="22225" cap="rnd">
              <a:solidFill>
                <a:schemeClr val="accent4"/>
              </a:solidFill>
            </a:ln>
            <a:effectLst>
              <a:glow rad="139700">
                <a:schemeClr val="accent4">
                  <a:satMod val="175000"/>
                  <a:alpha val="14000"/>
                </a:schemeClr>
              </a:glow>
            </a:effectLst>
          </c:spPr>
          <c:marker>
            <c:symbol val="none"/>
          </c:marker>
          <c:cat>
            <c:numRef>
              <c:f>'Chart-Data'!$B$2:$F$2</c:f>
              <c:numCache>
                <c:formatCode>General</c:formatCode>
                <c:ptCount val="5"/>
                <c:pt idx="0">
                  <c:v>2010</c:v>
                </c:pt>
                <c:pt idx="1">
                  <c:v>2011</c:v>
                </c:pt>
                <c:pt idx="2">
                  <c:v>2012</c:v>
                </c:pt>
                <c:pt idx="3">
                  <c:v>2013</c:v>
                </c:pt>
                <c:pt idx="4">
                  <c:v>2014</c:v>
                </c:pt>
              </c:numCache>
            </c:numRef>
          </c:cat>
          <c:val>
            <c:numRef>
              <c:f>'Chart-Data'!$B$6:$F$6</c:f>
              <c:numCache>
                <c:formatCode>General</c:formatCode>
                <c:ptCount val="5"/>
                <c:pt idx="0">
                  <c:v>191</c:v>
                </c:pt>
                <c:pt idx="1">
                  <c:v>190</c:v>
                </c:pt>
                <c:pt idx="2">
                  <c:v>195</c:v>
                </c:pt>
                <c:pt idx="3">
                  <c:v>198</c:v>
                </c:pt>
                <c:pt idx="4">
                  <c:v>188</c:v>
                </c:pt>
              </c:numCache>
            </c:numRef>
          </c:val>
          <c:smooth val="0"/>
          <c:extLst>
            <c:ext xmlns:c16="http://schemas.microsoft.com/office/drawing/2014/chart" uri="{C3380CC4-5D6E-409C-BE32-E72D297353CC}">
              <c16:uniqueId val="{00000003-1859-4377-A4C4-0A7530BFE58C}"/>
            </c:ext>
          </c:extLst>
        </c:ser>
        <c:ser>
          <c:idx val="4"/>
          <c:order val="4"/>
          <c:tx>
            <c:strRef>
              <c:f>'Chart-Data'!$A$7</c:f>
              <c:strCache>
                <c:ptCount val="1"/>
                <c:pt idx="0">
                  <c:v>Deli</c:v>
                </c:pt>
              </c:strCache>
            </c:strRef>
          </c:tx>
          <c:spPr>
            <a:ln w="22225" cap="rnd">
              <a:solidFill>
                <a:schemeClr val="accent5"/>
              </a:solidFill>
            </a:ln>
            <a:effectLst>
              <a:glow rad="139700">
                <a:schemeClr val="accent5">
                  <a:satMod val="175000"/>
                  <a:alpha val="14000"/>
                </a:schemeClr>
              </a:glow>
            </a:effectLst>
          </c:spPr>
          <c:marker>
            <c:symbol val="none"/>
          </c:marker>
          <c:cat>
            <c:numRef>
              <c:f>'Chart-Data'!$B$2:$F$2</c:f>
              <c:numCache>
                <c:formatCode>General</c:formatCode>
                <c:ptCount val="5"/>
                <c:pt idx="0">
                  <c:v>2010</c:v>
                </c:pt>
                <c:pt idx="1">
                  <c:v>2011</c:v>
                </c:pt>
                <c:pt idx="2">
                  <c:v>2012</c:v>
                </c:pt>
                <c:pt idx="3">
                  <c:v>2013</c:v>
                </c:pt>
                <c:pt idx="4">
                  <c:v>2014</c:v>
                </c:pt>
              </c:numCache>
            </c:numRef>
          </c:cat>
          <c:val>
            <c:numRef>
              <c:f>'Chart-Data'!$B$7:$F$7</c:f>
              <c:numCache>
                <c:formatCode>General</c:formatCode>
                <c:ptCount val="5"/>
                <c:pt idx="0">
                  <c:v>215</c:v>
                </c:pt>
                <c:pt idx="1">
                  <c:v>178</c:v>
                </c:pt>
                <c:pt idx="2">
                  <c:v>52</c:v>
                </c:pt>
                <c:pt idx="3">
                  <c:v>190</c:v>
                </c:pt>
                <c:pt idx="4">
                  <c:v>202</c:v>
                </c:pt>
              </c:numCache>
            </c:numRef>
          </c:val>
          <c:smooth val="0"/>
          <c:extLst>
            <c:ext xmlns:c16="http://schemas.microsoft.com/office/drawing/2014/chart" uri="{C3380CC4-5D6E-409C-BE32-E72D297353CC}">
              <c16:uniqueId val="{00000004-1859-4377-A4C4-0A7530BFE58C}"/>
            </c:ext>
          </c:extLst>
        </c:ser>
        <c:dLbls>
          <c:showLegendKey val="0"/>
          <c:showVal val="0"/>
          <c:showCatName val="0"/>
          <c:showSerName val="0"/>
          <c:showPercent val="0"/>
          <c:showBubbleSize val="0"/>
        </c:dLbls>
        <c:smooth val="0"/>
        <c:axId val="1155480784"/>
        <c:axId val="1155482448"/>
      </c:lineChart>
      <c:catAx>
        <c:axId val="115548078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55482448"/>
        <c:crosses val="autoZero"/>
        <c:auto val="1"/>
        <c:lblAlgn val="ctr"/>
        <c:lblOffset val="100"/>
        <c:noMultiLvlLbl val="0"/>
      </c:catAx>
      <c:valAx>
        <c:axId val="115548244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554807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CA"/>
              <a:t>Annual Sales</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7039-48BF-A3C2-54DC1CC0AFE0}"/>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7039-48BF-A3C2-54DC1CC0AFE0}"/>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7039-48BF-A3C2-54DC1CC0AFE0}"/>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7039-48BF-A3C2-54DC1CC0AFE0}"/>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7039-48BF-A3C2-54DC1CC0AFE0}"/>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7039-48BF-A3C2-54DC1CC0AFE0}"/>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7039-48BF-A3C2-54DC1CC0AFE0}"/>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7039-48BF-A3C2-54DC1CC0AFE0}"/>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7039-48BF-A3C2-54DC1CC0AFE0}"/>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7039-48BF-A3C2-54DC1CC0AFE0}"/>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'Chart-Data'!$A$3:$A$7</c:f>
              <c:strCache>
                <c:ptCount val="5"/>
                <c:pt idx="0">
                  <c:v>Coffee and Espresso</c:v>
                </c:pt>
                <c:pt idx="1">
                  <c:v>Bakery</c:v>
                </c:pt>
                <c:pt idx="2">
                  <c:v>Coffee Accessories</c:v>
                </c:pt>
                <c:pt idx="3">
                  <c:v>Packaged Coffee/Tea</c:v>
                </c:pt>
                <c:pt idx="4">
                  <c:v>Deli</c:v>
                </c:pt>
              </c:strCache>
            </c:strRef>
          </c:cat>
          <c:val>
            <c:numRef>
              <c:f>'Chart-Data'!$G$3:$G$7</c:f>
              <c:numCache>
                <c:formatCode>0.00%</c:formatCode>
                <c:ptCount val="5"/>
                <c:pt idx="0">
                  <c:v>0.53027522935779814</c:v>
                </c:pt>
                <c:pt idx="1">
                  <c:v>0.14057084607543324</c:v>
                </c:pt>
                <c:pt idx="2">
                  <c:v>0.14576962283384301</c:v>
                </c:pt>
                <c:pt idx="3">
                  <c:v>9.8063200815494397E-2</c:v>
                </c:pt>
                <c:pt idx="4">
                  <c:v>8.5321100917431197E-2</c:v>
                </c:pt>
              </c:numCache>
            </c:numRef>
          </c:val>
          <c:extLst>
            <c:ext xmlns:c16="http://schemas.microsoft.com/office/drawing/2014/chart" uri="{C3380CC4-5D6E-409C-BE32-E72D297353CC}">
              <c16:uniqueId val="{0000000A-7039-48BF-A3C2-54DC1CC0AFE0}"/>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alpha val="94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CA"/>
              <a:t>Annual Sales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'Chart-Data'!$A$3</c:f>
              <c:strCache>
                <c:ptCount val="1"/>
                <c:pt idx="0">
                  <c:v>Coffee and Espresso</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'Chart-Data'!$B$2:$F$2</c:f>
              <c:numCache>
                <c:formatCode>General</c:formatCode>
                <c:ptCount val="5"/>
                <c:pt idx="0">
                  <c:v>2010</c:v>
                </c:pt>
                <c:pt idx="1">
                  <c:v>2011</c:v>
                </c:pt>
                <c:pt idx="2">
                  <c:v>2012</c:v>
                </c:pt>
                <c:pt idx="3">
                  <c:v>2013</c:v>
                </c:pt>
                <c:pt idx="4">
                  <c:v>2014</c:v>
                </c:pt>
              </c:numCache>
            </c:numRef>
          </c:cat>
          <c:val>
            <c:numRef>
              <c:f>'Chart-Data'!$B$3:$F$3</c:f>
              <c:numCache>
                <c:formatCode>General</c:formatCode>
                <c:ptCount val="5"/>
                <c:pt idx="0">
                  <c:v>802</c:v>
                </c:pt>
                <c:pt idx="1">
                  <c:v>950</c:v>
                </c:pt>
                <c:pt idx="2">
                  <c:v>1015</c:v>
                </c:pt>
                <c:pt idx="3">
                  <c:v>1050</c:v>
                </c:pt>
                <c:pt idx="4">
                  <c:v>1385</c:v>
                </c:pt>
              </c:numCache>
            </c:numRef>
          </c:val>
          <c:extLst>
            <c:ext xmlns:c16="http://schemas.microsoft.com/office/drawing/2014/chart" uri="{C3380CC4-5D6E-409C-BE32-E72D297353CC}">
              <c16:uniqueId val="{00000000-352E-4318-94BF-75C37A35595D}"/>
            </c:ext>
          </c:extLst>
        </c:ser>
        <c:ser>
          <c:idx val="1"/>
          <c:order val="1"/>
          <c:tx>
            <c:strRef>
              <c:f>'Chart-Data'!$A$4</c:f>
              <c:strCache>
                <c:ptCount val="1"/>
                <c:pt idx="0">
                  <c:v>Bakery</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'Chart-Data'!$B$2:$F$2</c:f>
              <c:numCache>
                <c:formatCode>General</c:formatCode>
                <c:ptCount val="5"/>
                <c:pt idx="0">
                  <c:v>2010</c:v>
                </c:pt>
                <c:pt idx="1">
                  <c:v>2011</c:v>
                </c:pt>
                <c:pt idx="2">
                  <c:v>2012</c:v>
                </c:pt>
                <c:pt idx="3">
                  <c:v>2013</c:v>
                </c:pt>
                <c:pt idx="4">
                  <c:v>2014</c:v>
                </c:pt>
              </c:numCache>
            </c:numRef>
          </c:cat>
          <c:val>
            <c:numRef>
              <c:f>'Chart-Data'!$B$4:$F$4</c:f>
              <c:numCache>
                <c:formatCode>General</c:formatCode>
                <c:ptCount val="5"/>
                <c:pt idx="0">
                  <c:v>352</c:v>
                </c:pt>
                <c:pt idx="1">
                  <c:v>325</c:v>
                </c:pt>
                <c:pt idx="2">
                  <c:v>302</c:v>
                </c:pt>
                <c:pt idx="3">
                  <c:v>250</c:v>
                </c:pt>
                <c:pt idx="4">
                  <c:v>150</c:v>
                </c:pt>
              </c:numCache>
            </c:numRef>
          </c:val>
          <c:extLst>
            <c:ext xmlns:c16="http://schemas.microsoft.com/office/drawing/2014/chart" uri="{C3380CC4-5D6E-409C-BE32-E72D297353CC}">
              <c16:uniqueId val="{00000001-352E-4318-94BF-75C37A35595D}"/>
            </c:ext>
          </c:extLst>
        </c:ser>
        <c:ser>
          <c:idx val="2"/>
          <c:order val="2"/>
          <c:tx>
            <c:strRef>
              <c:f>'Chart-Data'!$A$5</c:f>
              <c:strCache>
                <c:ptCount val="1"/>
                <c:pt idx="0">
                  <c:v>Coffee Accessories</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'Chart-Data'!$B$2:$F$2</c:f>
              <c:numCache>
                <c:formatCode>General</c:formatCode>
                <c:ptCount val="5"/>
                <c:pt idx="0">
                  <c:v>2010</c:v>
                </c:pt>
                <c:pt idx="1">
                  <c:v>2011</c:v>
                </c:pt>
                <c:pt idx="2">
                  <c:v>2012</c:v>
                </c:pt>
                <c:pt idx="3">
                  <c:v>2013</c:v>
                </c:pt>
                <c:pt idx="4">
                  <c:v>2014</c:v>
                </c:pt>
              </c:numCache>
            </c:numRef>
          </c:cat>
          <c:val>
            <c:numRef>
              <c:f>'Chart-Data'!$B$5:$F$5</c:f>
              <c:numCache>
                <c:formatCode>General</c:formatCode>
                <c:ptCount val="5"/>
                <c:pt idx="0">
                  <c:v>15</c:v>
                </c:pt>
                <c:pt idx="1">
                  <c:v>75</c:v>
                </c:pt>
                <c:pt idx="2">
                  <c:v>280</c:v>
                </c:pt>
                <c:pt idx="3">
                  <c:v>402</c:v>
                </c:pt>
                <c:pt idx="4">
                  <c:v>658</c:v>
                </c:pt>
              </c:numCache>
            </c:numRef>
          </c:val>
          <c:extLst>
            <c:ext xmlns:c16="http://schemas.microsoft.com/office/drawing/2014/chart" uri="{C3380CC4-5D6E-409C-BE32-E72D297353CC}">
              <c16:uniqueId val="{00000002-352E-4318-94BF-75C37A35595D}"/>
            </c:ext>
          </c:extLst>
        </c:ser>
        <c:ser>
          <c:idx val="3"/>
          <c:order val="3"/>
          <c:tx>
            <c:strRef>
              <c:f>'Chart-Data'!$A$6</c:f>
              <c:strCache>
                <c:ptCount val="1"/>
                <c:pt idx="0">
                  <c:v>Packaged Coffee/Tea</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'Chart-Data'!$B$2:$F$2</c:f>
              <c:numCache>
                <c:formatCode>General</c:formatCode>
                <c:ptCount val="5"/>
                <c:pt idx="0">
                  <c:v>2010</c:v>
                </c:pt>
                <c:pt idx="1">
                  <c:v>2011</c:v>
                </c:pt>
                <c:pt idx="2">
                  <c:v>2012</c:v>
                </c:pt>
                <c:pt idx="3">
                  <c:v>2013</c:v>
                </c:pt>
                <c:pt idx="4">
                  <c:v>2014</c:v>
                </c:pt>
              </c:numCache>
            </c:numRef>
          </c:cat>
          <c:val>
            <c:numRef>
              <c:f>'Chart-Data'!$B$6:$F$6</c:f>
              <c:numCache>
                <c:formatCode>General</c:formatCode>
                <c:ptCount val="5"/>
                <c:pt idx="0">
                  <c:v>191</c:v>
                </c:pt>
                <c:pt idx="1">
                  <c:v>190</c:v>
                </c:pt>
                <c:pt idx="2">
                  <c:v>195</c:v>
                </c:pt>
                <c:pt idx="3">
                  <c:v>198</c:v>
                </c:pt>
                <c:pt idx="4">
                  <c:v>188</c:v>
                </c:pt>
              </c:numCache>
            </c:numRef>
          </c:val>
          <c:extLst>
            <c:ext xmlns:c16="http://schemas.microsoft.com/office/drawing/2014/chart" uri="{C3380CC4-5D6E-409C-BE32-E72D297353CC}">
              <c16:uniqueId val="{00000003-352E-4318-94BF-75C37A35595D}"/>
            </c:ext>
          </c:extLst>
        </c:ser>
        <c:ser>
          <c:idx val="4"/>
          <c:order val="4"/>
          <c:tx>
            <c:strRef>
              <c:f>'Chart-Data'!$A$7</c:f>
              <c:strCache>
                <c:ptCount val="1"/>
                <c:pt idx="0">
                  <c:v>Deli</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'Chart-Data'!$B$2:$F$2</c:f>
              <c:numCache>
                <c:formatCode>General</c:formatCode>
                <c:ptCount val="5"/>
                <c:pt idx="0">
                  <c:v>2010</c:v>
                </c:pt>
                <c:pt idx="1">
                  <c:v>2011</c:v>
                </c:pt>
                <c:pt idx="2">
                  <c:v>2012</c:v>
                </c:pt>
                <c:pt idx="3">
                  <c:v>2013</c:v>
                </c:pt>
                <c:pt idx="4">
                  <c:v>2014</c:v>
                </c:pt>
              </c:numCache>
            </c:numRef>
          </c:cat>
          <c:val>
            <c:numRef>
              <c:f>'Chart-Data'!$B$7:$F$7</c:f>
              <c:numCache>
                <c:formatCode>General</c:formatCode>
                <c:ptCount val="5"/>
                <c:pt idx="0">
                  <c:v>215</c:v>
                </c:pt>
                <c:pt idx="1">
                  <c:v>178</c:v>
                </c:pt>
                <c:pt idx="2">
                  <c:v>52</c:v>
                </c:pt>
                <c:pt idx="3">
                  <c:v>190</c:v>
                </c:pt>
                <c:pt idx="4">
                  <c:v>202</c:v>
                </c:pt>
              </c:numCache>
            </c:numRef>
          </c:val>
          <c:extLst>
            <c:ext xmlns:c16="http://schemas.microsoft.com/office/drawing/2014/chart" uri="{C3380CC4-5D6E-409C-BE32-E72D297353CC}">
              <c16:uniqueId val="{00000004-352E-4318-94BF-75C37A35595D}"/>
            </c:ext>
          </c:extLst>
        </c:ser>
        <c:dLbls>
          <c:dLblPos val="inEnd"/>
          <c:showLegendKey val="0"/>
          <c:showVal val="1"/>
          <c:showCatName val="0"/>
          <c:showSerName val="0"/>
          <c:showPercent val="0"/>
          <c:showBubbleSize val="0"/>
        </c:dLbls>
        <c:gapWidth val="65"/>
        <c:axId val="1910063760"/>
        <c:axId val="1910068336"/>
      </c:barChart>
      <c:catAx>
        <c:axId val="191006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910068336"/>
        <c:crosses val="autoZero"/>
        <c:auto val="1"/>
        <c:lblAlgn val="ctr"/>
        <c:lblOffset val="100"/>
        <c:noMultiLvlLbl val="0"/>
      </c:catAx>
      <c:valAx>
        <c:axId val="191006833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91006376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ANNUAL</a:t>
            </a:r>
            <a:r>
              <a:rPr lang="en-CA" baseline="0"/>
              <a:t> SALES</a:t>
            </a:r>
            <a:endParaRPr lang="en-CA"/>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'Chart-Data'!$A$3</c:f>
              <c:strCache>
                <c:ptCount val="1"/>
                <c:pt idx="0">
                  <c:v>Coffee and Espresso</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'Chart-Data'!$B$2:$F$2</c:f>
              <c:numCache>
                <c:formatCode>General</c:formatCode>
                <c:ptCount val="5"/>
                <c:pt idx="0">
                  <c:v>2010</c:v>
                </c:pt>
                <c:pt idx="1">
                  <c:v>2011</c:v>
                </c:pt>
                <c:pt idx="2">
                  <c:v>2012</c:v>
                </c:pt>
                <c:pt idx="3">
                  <c:v>2013</c:v>
                </c:pt>
                <c:pt idx="4">
                  <c:v>2014</c:v>
                </c:pt>
              </c:numCache>
            </c:numRef>
          </c:cat>
          <c:val>
            <c:numRef>
              <c:f>'Chart-Data'!$B$3:$F$3</c:f>
              <c:numCache>
                <c:formatCode>General</c:formatCode>
                <c:ptCount val="5"/>
                <c:pt idx="0">
                  <c:v>802</c:v>
                </c:pt>
                <c:pt idx="1">
                  <c:v>950</c:v>
                </c:pt>
                <c:pt idx="2">
                  <c:v>1015</c:v>
                </c:pt>
                <c:pt idx="3">
                  <c:v>1050</c:v>
                </c:pt>
                <c:pt idx="4">
                  <c:v>1385</c:v>
                </c:pt>
              </c:numCache>
            </c:numRef>
          </c:val>
          <c:smooth val="0"/>
          <c:extLst>
            <c:ext xmlns:c16="http://schemas.microsoft.com/office/drawing/2014/chart" uri="{C3380CC4-5D6E-409C-BE32-E72D297353CC}">
              <c16:uniqueId val="{00000000-88AE-43E3-8E24-53DD64C5C37E}"/>
            </c:ext>
          </c:extLst>
        </c:ser>
        <c:ser>
          <c:idx val="1"/>
          <c:order val="1"/>
          <c:tx>
            <c:strRef>
              <c:f>'Chart-Data'!$A$4</c:f>
              <c:strCache>
                <c:ptCount val="1"/>
                <c:pt idx="0">
                  <c:v>Bakery</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'Chart-Data'!$B$2:$F$2</c:f>
              <c:numCache>
                <c:formatCode>General</c:formatCode>
                <c:ptCount val="5"/>
                <c:pt idx="0">
                  <c:v>2010</c:v>
                </c:pt>
                <c:pt idx="1">
                  <c:v>2011</c:v>
                </c:pt>
                <c:pt idx="2">
                  <c:v>2012</c:v>
                </c:pt>
                <c:pt idx="3">
                  <c:v>2013</c:v>
                </c:pt>
                <c:pt idx="4">
                  <c:v>2014</c:v>
                </c:pt>
              </c:numCache>
            </c:numRef>
          </c:cat>
          <c:val>
            <c:numRef>
              <c:f>'Chart-Data'!$B$4:$F$4</c:f>
              <c:numCache>
                <c:formatCode>General</c:formatCode>
                <c:ptCount val="5"/>
                <c:pt idx="0">
                  <c:v>352</c:v>
                </c:pt>
                <c:pt idx="1">
                  <c:v>325</c:v>
                </c:pt>
                <c:pt idx="2">
                  <c:v>302</c:v>
                </c:pt>
                <c:pt idx="3">
                  <c:v>250</c:v>
                </c:pt>
                <c:pt idx="4">
                  <c:v>150</c:v>
                </c:pt>
              </c:numCache>
            </c:numRef>
          </c:val>
          <c:smooth val="0"/>
          <c:extLst>
            <c:ext xmlns:c16="http://schemas.microsoft.com/office/drawing/2014/chart" uri="{C3380CC4-5D6E-409C-BE32-E72D297353CC}">
              <c16:uniqueId val="{00000001-88AE-43E3-8E24-53DD64C5C37E}"/>
            </c:ext>
          </c:extLst>
        </c:ser>
        <c:ser>
          <c:idx val="2"/>
          <c:order val="2"/>
          <c:tx>
            <c:strRef>
              <c:f>'Chart-Data'!$A$5</c:f>
              <c:strCache>
                <c:ptCount val="1"/>
                <c:pt idx="0">
                  <c:v>Coffee Accessories</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'Chart-Data'!$B$2:$F$2</c:f>
              <c:numCache>
                <c:formatCode>General</c:formatCode>
                <c:ptCount val="5"/>
                <c:pt idx="0">
                  <c:v>2010</c:v>
                </c:pt>
                <c:pt idx="1">
                  <c:v>2011</c:v>
                </c:pt>
                <c:pt idx="2">
                  <c:v>2012</c:v>
                </c:pt>
                <c:pt idx="3">
                  <c:v>2013</c:v>
                </c:pt>
                <c:pt idx="4">
                  <c:v>2014</c:v>
                </c:pt>
              </c:numCache>
            </c:numRef>
          </c:cat>
          <c:val>
            <c:numRef>
              <c:f>'Chart-Data'!$B$5:$F$5</c:f>
              <c:numCache>
                <c:formatCode>General</c:formatCode>
                <c:ptCount val="5"/>
                <c:pt idx="0">
                  <c:v>15</c:v>
                </c:pt>
                <c:pt idx="1">
                  <c:v>75</c:v>
                </c:pt>
                <c:pt idx="2">
                  <c:v>280</c:v>
                </c:pt>
                <c:pt idx="3">
                  <c:v>402</c:v>
                </c:pt>
                <c:pt idx="4">
                  <c:v>658</c:v>
                </c:pt>
              </c:numCache>
            </c:numRef>
          </c:val>
          <c:smooth val="0"/>
          <c:extLst>
            <c:ext xmlns:c16="http://schemas.microsoft.com/office/drawing/2014/chart" uri="{C3380CC4-5D6E-409C-BE32-E72D297353CC}">
              <c16:uniqueId val="{00000002-88AE-43E3-8E24-53DD64C5C37E}"/>
            </c:ext>
          </c:extLst>
        </c:ser>
        <c:ser>
          <c:idx val="3"/>
          <c:order val="3"/>
          <c:tx>
            <c:strRef>
              <c:f>'Chart-Data'!$A$6</c:f>
              <c:strCache>
                <c:ptCount val="1"/>
                <c:pt idx="0">
                  <c:v>Packaged Coffee/Tea</c:v>
                </c:pt>
              </c:strCache>
            </c:strRef>
          </c:tx>
          <c:spPr>
            <a:ln w="22225" cap="rnd">
              <a:solidFill>
                <a:schemeClr val="accent4"/>
              </a:solidFill>
              <a:round/>
            </a:ln>
            <a:effectLst/>
          </c:spPr>
          <c:marker>
            <c:symbol val="x"/>
            <c:size val="6"/>
            <c:spPr>
              <a:noFill/>
              <a:ln w="9525">
                <a:solidFill>
                  <a:schemeClr val="accent4"/>
                </a:solidFill>
                <a:round/>
              </a:ln>
              <a:effectLst/>
            </c:spPr>
          </c:marker>
          <c:cat>
            <c:numRef>
              <c:f>'Chart-Data'!$B$2:$F$2</c:f>
              <c:numCache>
                <c:formatCode>General</c:formatCode>
                <c:ptCount val="5"/>
                <c:pt idx="0">
                  <c:v>2010</c:v>
                </c:pt>
                <c:pt idx="1">
                  <c:v>2011</c:v>
                </c:pt>
                <c:pt idx="2">
                  <c:v>2012</c:v>
                </c:pt>
                <c:pt idx="3">
                  <c:v>2013</c:v>
                </c:pt>
                <c:pt idx="4">
                  <c:v>2014</c:v>
                </c:pt>
              </c:numCache>
            </c:numRef>
          </c:cat>
          <c:val>
            <c:numRef>
              <c:f>'Chart-Data'!$B$6:$F$6</c:f>
              <c:numCache>
                <c:formatCode>General</c:formatCode>
                <c:ptCount val="5"/>
                <c:pt idx="0">
                  <c:v>191</c:v>
                </c:pt>
                <c:pt idx="1">
                  <c:v>190</c:v>
                </c:pt>
                <c:pt idx="2">
                  <c:v>195</c:v>
                </c:pt>
                <c:pt idx="3">
                  <c:v>198</c:v>
                </c:pt>
                <c:pt idx="4">
                  <c:v>188</c:v>
                </c:pt>
              </c:numCache>
            </c:numRef>
          </c:val>
          <c:smooth val="0"/>
          <c:extLst>
            <c:ext xmlns:c16="http://schemas.microsoft.com/office/drawing/2014/chart" uri="{C3380CC4-5D6E-409C-BE32-E72D297353CC}">
              <c16:uniqueId val="{00000003-88AE-43E3-8E24-53DD64C5C37E}"/>
            </c:ext>
          </c:extLst>
        </c:ser>
        <c:ser>
          <c:idx val="4"/>
          <c:order val="4"/>
          <c:tx>
            <c:strRef>
              <c:f>'Chart-Data'!$A$7</c:f>
              <c:strCache>
                <c:ptCount val="1"/>
                <c:pt idx="0">
                  <c:v>Deli</c:v>
                </c:pt>
              </c:strCache>
            </c:strRef>
          </c:tx>
          <c:spPr>
            <a:ln w="22225" cap="rnd">
              <a:solidFill>
                <a:schemeClr val="accent5"/>
              </a:solidFill>
              <a:round/>
            </a:ln>
            <a:effectLst/>
          </c:spPr>
          <c:marker>
            <c:symbol val="star"/>
            <c:size val="6"/>
            <c:spPr>
              <a:noFill/>
              <a:ln w="9525">
                <a:solidFill>
                  <a:schemeClr val="accent5"/>
                </a:solidFill>
                <a:round/>
              </a:ln>
              <a:effectLst/>
            </c:spPr>
          </c:marker>
          <c:cat>
            <c:numRef>
              <c:f>'Chart-Data'!$B$2:$F$2</c:f>
              <c:numCache>
                <c:formatCode>General</c:formatCode>
                <c:ptCount val="5"/>
                <c:pt idx="0">
                  <c:v>2010</c:v>
                </c:pt>
                <c:pt idx="1">
                  <c:v>2011</c:v>
                </c:pt>
                <c:pt idx="2">
                  <c:v>2012</c:v>
                </c:pt>
                <c:pt idx="3">
                  <c:v>2013</c:v>
                </c:pt>
                <c:pt idx="4">
                  <c:v>2014</c:v>
                </c:pt>
              </c:numCache>
            </c:numRef>
          </c:cat>
          <c:val>
            <c:numRef>
              <c:f>'Chart-Data'!$B$7:$F$7</c:f>
              <c:numCache>
                <c:formatCode>General</c:formatCode>
                <c:ptCount val="5"/>
                <c:pt idx="0">
                  <c:v>215</c:v>
                </c:pt>
                <c:pt idx="1">
                  <c:v>178</c:v>
                </c:pt>
                <c:pt idx="2">
                  <c:v>52</c:v>
                </c:pt>
                <c:pt idx="3">
                  <c:v>190</c:v>
                </c:pt>
                <c:pt idx="4">
                  <c:v>202</c:v>
                </c:pt>
              </c:numCache>
            </c:numRef>
          </c:val>
          <c:smooth val="0"/>
          <c:extLst>
            <c:ext xmlns:c16="http://schemas.microsoft.com/office/drawing/2014/chart" uri="{C3380CC4-5D6E-409C-BE32-E72D297353CC}">
              <c16:uniqueId val="{00000004-88AE-43E3-8E24-53DD64C5C37E}"/>
            </c:ext>
          </c:extLst>
        </c:ser>
        <c:dLbls>
          <c:showLegendKey val="0"/>
          <c:showVal val="0"/>
          <c:showCatName val="0"/>
          <c:showSerName val="0"/>
          <c:showPercent val="0"/>
          <c:showBubbleSize val="0"/>
        </c:dLbls>
        <c:marker val="1"/>
        <c:smooth val="0"/>
        <c:axId val="1153006688"/>
        <c:axId val="1153007936"/>
      </c:lineChart>
      <c:catAx>
        <c:axId val="1153006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153007936"/>
        <c:crosses val="autoZero"/>
        <c:auto val="1"/>
        <c:lblAlgn val="ctr"/>
        <c:lblOffset val="100"/>
        <c:noMultiLvlLbl val="0"/>
      </c:catAx>
      <c:valAx>
        <c:axId val="1153007936"/>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0066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Annual</a:t>
            </a:r>
            <a:r>
              <a:rPr lang="en-CA" baseline="0"/>
              <a:t> Sales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percentStacked"/>
        <c:varyColors val="0"/>
        <c:ser>
          <c:idx val="0"/>
          <c:order val="0"/>
          <c:tx>
            <c:strRef>
              <c:f>'Chart-Data'!$A$3</c:f>
              <c:strCache>
                <c:ptCount val="1"/>
                <c:pt idx="0">
                  <c:v>Coffee and Espresso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'Chart-Data'!$B$2:$F$2</c:f>
              <c:numCache>
                <c:formatCode>General</c:formatCode>
                <c:ptCount val="5"/>
                <c:pt idx="0">
                  <c:v>2010</c:v>
                </c:pt>
                <c:pt idx="1">
                  <c:v>2011</c:v>
                </c:pt>
                <c:pt idx="2">
                  <c:v>2012</c:v>
                </c:pt>
                <c:pt idx="3">
                  <c:v>2013</c:v>
                </c:pt>
                <c:pt idx="4">
                  <c:v>2014</c:v>
                </c:pt>
              </c:numCache>
            </c:numRef>
          </c:cat>
          <c:val>
            <c:numRef>
              <c:f>'Chart-Data'!$B$3:$F$3</c:f>
              <c:numCache>
                <c:formatCode>General</c:formatCode>
                <c:ptCount val="5"/>
                <c:pt idx="0">
                  <c:v>802</c:v>
                </c:pt>
                <c:pt idx="1">
                  <c:v>950</c:v>
                </c:pt>
                <c:pt idx="2">
                  <c:v>1015</c:v>
                </c:pt>
                <c:pt idx="3">
                  <c:v>1050</c:v>
                </c:pt>
                <c:pt idx="4">
                  <c:v>1385</c:v>
                </c:pt>
              </c:numCache>
            </c:numRef>
          </c:val>
          <c:smooth val="0"/>
          <c:extLst>
            <c:ext xmlns:c16="http://schemas.microsoft.com/office/drawing/2014/chart" uri="{C3380CC4-5D6E-409C-BE32-E72D297353CC}">
              <c16:uniqueId val="{00000000-7E7A-43E9-971F-A6AD3863A245}"/>
            </c:ext>
          </c:extLst>
        </c:ser>
        <c:ser>
          <c:idx val="1"/>
          <c:order val="1"/>
          <c:tx>
            <c:strRef>
              <c:f>'Chart-Data'!$A$4</c:f>
              <c:strCache>
                <c:ptCount val="1"/>
                <c:pt idx="0">
                  <c:v>Bakery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'Chart-Data'!$B$2:$F$2</c:f>
              <c:numCache>
                <c:formatCode>General</c:formatCode>
                <c:ptCount val="5"/>
                <c:pt idx="0">
                  <c:v>2010</c:v>
                </c:pt>
                <c:pt idx="1">
                  <c:v>2011</c:v>
                </c:pt>
                <c:pt idx="2">
                  <c:v>2012</c:v>
                </c:pt>
                <c:pt idx="3">
                  <c:v>2013</c:v>
                </c:pt>
                <c:pt idx="4">
                  <c:v>2014</c:v>
                </c:pt>
              </c:numCache>
            </c:numRef>
          </c:cat>
          <c:val>
            <c:numRef>
              <c:f>'Chart-Data'!$B$4:$F$4</c:f>
              <c:numCache>
                <c:formatCode>General</c:formatCode>
                <c:ptCount val="5"/>
                <c:pt idx="0">
                  <c:v>352</c:v>
                </c:pt>
                <c:pt idx="1">
                  <c:v>325</c:v>
                </c:pt>
                <c:pt idx="2">
                  <c:v>302</c:v>
                </c:pt>
                <c:pt idx="3">
                  <c:v>250</c:v>
                </c:pt>
                <c:pt idx="4">
                  <c:v>150</c:v>
                </c:pt>
              </c:numCache>
            </c:numRef>
          </c:val>
          <c:smooth val="0"/>
          <c:extLst>
            <c:ext xmlns:c16="http://schemas.microsoft.com/office/drawing/2014/chart" uri="{C3380CC4-5D6E-409C-BE32-E72D297353CC}">
              <c16:uniqueId val="{00000001-7E7A-43E9-971F-A6AD3863A245}"/>
            </c:ext>
          </c:extLst>
        </c:ser>
        <c:ser>
          <c:idx val="2"/>
          <c:order val="2"/>
          <c:tx>
            <c:strRef>
              <c:f>'Chart-Data'!$A$5</c:f>
              <c:strCache>
                <c:ptCount val="1"/>
                <c:pt idx="0">
                  <c:v>Coffee Accessories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'Chart-Data'!$B$2:$F$2</c:f>
              <c:numCache>
                <c:formatCode>General</c:formatCode>
                <c:ptCount val="5"/>
                <c:pt idx="0">
                  <c:v>2010</c:v>
                </c:pt>
                <c:pt idx="1">
                  <c:v>2011</c:v>
                </c:pt>
                <c:pt idx="2">
                  <c:v>2012</c:v>
                </c:pt>
                <c:pt idx="3">
                  <c:v>2013</c:v>
                </c:pt>
                <c:pt idx="4">
                  <c:v>2014</c:v>
                </c:pt>
              </c:numCache>
            </c:numRef>
          </c:cat>
          <c:val>
            <c:numRef>
              <c:f>'Chart-Data'!$B$5:$F$5</c:f>
              <c:numCache>
                <c:formatCode>General</c:formatCode>
                <c:ptCount val="5"/>
                <c:pt idx="0">
                  <c:v>15</c:v>
                </c:pt>
                <c:pt idx="1">
                  <c:v>75</c:v>
                </c:pt>
                <c:pt idx="2">
                  <c:v>280</c:v>
                </c:pt>
                <c:pt idx="3">
                  <c:v>402</c:v>
                </c:pt>
                <c:pt idx="4">
                  <c:v>658</c:v>
                </c:pt>
              </c:numCache>
            </c:numRef>
          </c:val>
          <c:smooth val="0"/>
          <c:extLst>
            <c:ext xmlns:c16="http://schemas.microsoft.com/office/drawing/2014/chart" uri="{C3380CC4-5D6E-409C-BE32-E72D297353CC}">
              <c16:uniqueId val="{00000002-7E7A-43E9-971F-A6AD3863A245}"/>
            </c:ext>
          </c:extLst>
        </c:ser>
        <c:ser>
          <c:idx val="3"/>
          <c:order val="3"/>
          <c:tx>
            <c:strRef>
              <c:f>'Chart-Data'!$A$6</c:f>
              <c:strCache>
                <c:ptCount val="1"/>
                <c:pt idx="0">
                  <c:v>Packaged Coffee/Tea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'Chart-Data'!$B$2:$F$2</c:f>
              <c:numCache>
                <c:formatCode>General</c:formatCode>
                <c:ptCount val="5"/>
                <c:pt idx="0">
                  <c:v>2010</c:v>
                </c:pt>
                <c:pt idx="1">
                  <c:v>2011</c:v>
                </c:pt>
                <c:pt idx="2">
                  <c:v>2012</c:v>
                </c:pt>
                <c:pt idx="3">
                  <c:v>2013</c:v>
                </c:pt>
                <c:pt idx="4">
                  <c:v>2014</c:v>
                </c:pt>
              </c:numCache>
            </c:numRef>
          </c:cat>
          <c:val>
            <c:numRef>
              <c:f>'Chart-Data'!$B$6:$F$6</c:f>
              <c:numCache>
                <c:formatCode>General</c:formatCode>
                <c:ptCount val="5"/>
                <c:pt idx="0">
                  <c:v>191</c:v>
                </c:pt>
                <c:pt idx="1">
                  <c:v>190</c:v>
                </c:pt>
                <c:pt idx="2">
                  <c:v>195</c:v>
                </c:pt>
                <c:pt idx="3">
                  <c:v>198</c:v>
                </c:pt>
                <c:pt idx="4">
                  <c:v>188</c:v>
                </c:pt>
              </c:numCache>
            </c:numRef>
          </c:val>
          <c:smooth val="0"/>
          <c:extLst>
            <c:ext xmlns:c16="http://schemas.microsoft.com/office/drawing/2014/chart" uri="{C3380CC4-5D6E-409C-BE32-E72D297353CC}">
              <c16:uniqueId val="{00000003-7E7A-43E9-971F-A6AD3863A245}"/>
            </c:ext>
          </c:extLst>
        </c:ser>
        <c:ser>
          <c:idx val="4"/>
          <c:order val="4"/>
          <c:tx>
            <c:strRef>
              <c:f>'Chart-Data'!$A$7</c:f>
              <c:strCache>
                <c:ptCount val="1"/>
                <c:pt idx="0">
                  <c:v>Deli</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'Chart-Data'!$B$2:$F$2</c:f>
              <c:numCache>
                <c:formatCode>General</c:formatCode>
                <c:ptCount val="5"/>
                <c:pt idx="0">
                  <c:v>2010</c:v>
                </c:pt>
                <c:pt idx="1">
                  <c:v>2011</c:v>
                </c:pt>
                <c:pt idx="2">
                  <c:v>2012</c:v>
                </c:pt>
                <c:pt idx="3">
                  <c:v>2013</c:v>
                </c:pt>
                <c:pt idx="4">
                  <c:v>2014</c:v>
                </c:pt>
              </c:numCache>
            </c:numRef>
          </c:cat>
          <c:val>
            <c:numRef>
              <c:f>'Chart-Data'!$B$7:$F$7</c:f>
              <c:numCache>
                <c:formatCode>General</c:formatCode>
                <c:ptCount val="5"/>
                <c:pt idx="0">
                  <c:v>215</c:v>
                </c:pt>
                <c:pt idx="1">
                  <c:v>178</c:v>
                </c:pt>
                <c:pt idx="2">
                  <c:v>52</c:v>
                </c:pt>
                <c:pt idx="3">
                  <c:v>190</c:v>
                </c:pt>
                <c:pt idx="4">
                  <c:v>202</c:v>
                </c:pt>
              </c:numCache>
            </c:numRef>
          </c:val>
          <c:smooth val="0"/>
          <c:extLst>
            <c:ext xmlns:c16="http://schemas.microsoft.com/office/drawing/2014/chart" uri="{C3380CC4-5D6E-409C-BE32-E72D297353CC}">
              <c16:uniqueId val="{00000004-7E7A-43E9-971F-A6AD3863A245}"/>
            </c:ext>
          </c:extLst>
        </c:ser>
        <c:dLbls>
          <c:showLegendKey val="0"/>
          <c:showVal val="0"/>
          <c:showCatName val="0"/>
          <c:showSerName val="0"/>
          <c:showPercent val="0"/>
          <c:showBubbleSize val="0"/>
        </c:dLbls>
        <c:marker val="1"/>
        <c:smooth val="0"/>
        <c:axId val="25691488"/>
        <c:axId val="25693152"/>
      </c:lineChart>
      <c:catAx>
        <c:axId val="25691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93152"/>
        <c:crosses val="autoZero"/>
        <c:auto val="1"/>
        <c:lblAlgn val="ctr"/>
        <c:lblOffset val="100"/>
        <c:noMultiLvlLbl val="0"/>
      </c:catAx>
      <c:valAx>
        <c:axId val="256931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9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alpha val="34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19051</xdr:colOff>
      <xdr:row>0</xdr:row>
      <xdr:rowOff>1</xdr:rowOff>
    </xdr:from>
    <xdr:to>
      <xdr:col>2</xdr:col>
      <xdr:colOff>438150</xdr:colOff>
      <xdr:row>2</xdr:row>
      <xdr:rowOff>152401</xdr:rowOff>
    </xdr:to>
    <xdr:pic>
      <xdr:nvPicPr>
        <xdr:cNvPr id="2" name="Picture 1" descr="Intellidata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clrChange>
            <a:clrFrom>
              <a:srgbClr val="FEFEFE"/>
            </a:clrFrom>
            <a:clrTo>
              <a:srgbClr val="FEFEFE">
                <a:alpha val="0"/>
              </a:srgbClr>
            </a:clrTo>
          </a:clrChange>
        </a:blip>
        <a:srcRect t="23000" b="32001"/>
        <a:stretch>
          <a:fillRect/>
        </a:stretch>
      </xdr:blipFill>
      <xdr:spPr bwMode="auto">
        <a:xfrm>
          <a:off x="19051" y="1"/>
          <a:ext cx="2200274" cy="342900"/>
        </a:xfrm>
        <a:prstGeom prst="rect">
          <a:avLst/>
        </a:prstGeom>
        <a:noFill/>
      </xdr:spPr>
    </xdr:pic>
    <xdr:clientData/>
  </xdr:twoCellAnchor>
  <xdr:twoCellAnchor>
    <xdr:from>
      <xdr:col>12</xdr:col>
      <xdr:colOff>485775</xdr:colOff>
      <xdr:row>4</xdr:row>
      <xdr:rowOff>133347</xdr:rowOff>
    </xdr:from>
    <xdr:to>
      <xdr:col>19</xdr:col>
      <xdr:colOff>476250</xdr:colOff>
      <xdr:row>37</xdr:row>
      <xdr:rowOff>28576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430250" y="628647"/>
          <a:ext cx="6391275" cy="64960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dk1"/>
              </a:solidFill>
              <a:effectLst/>
              <a:latin typeface="+mn-lt"/>
              <a:ea typeface="+mn-ea"/>
              <a:cs typeface="+mn-cs"/>
            </a:rPr>
            <a:t>1. For the Region Column, restrict cell entries to : North, Central &amp; South =</a:t>
          </a:r>
          <a:r>
            <a:rPr lang="en-US" sz="1400" b="1">
              <a:solidFill>
                <a:schemeClr val="dk1"/>
              </a:solidFill>
              <a:effectLst/>
              <a:latin typeface="+mn-lt"/>
              <a:ea typeface="+mn-ea"/>
              <a:cs typeface="+mn-cs"/>
            </a:rPr>
            <a:t>OK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2. Copy Row 6, 7 &amp; 8 and paste it after row 27 =</a:t>
          </a:r>
          <a:r>
            <a:rPr lang="en-US" sz="1400" b="1">
              <a:solidFill>
                <a:schemeClr val="dk1"/>
              </a:solidFill>
              <a:effectLst/>
              <a:latin typeface="+mn-lt"/>
              <a:ea typeface="+mn-ea"/>
              <a:cs typeface="+mn-cs"/>
            </a:rPr>
            <a:t>OK</a:t>
          </a:r>
        </a:p>
        <a:p>
          <a:r>
            <a:rPr lang="en-US" sz="1400" b="1">
              <a:solidFill>
                <a:schemeClr val="dk1"/>
              </a:solidFill>
              <a:effectLst/>
              <a:latin typeface="+mn-lt"/>
              <a:ea typeface="+mn-ea"/>
              <a:cs typeface="+mn-cs"/>
            </a:rPr>
            <a:t>Ans:</a:t>
          </a:r>
          <a:r>
            <a:rPr lang="en-US" sz="1400">
              <a:solidFill>
                <a:schemeClr val="dk1"/>
              </a:solidFill>
              <a:effectLst/>
              <a:latin typeface="+mn-lt"/>
              <a:ea typeface="+mn-ea"/>
              <a:cs typeface="+mn-cs"/>
            </a:rPr>
            <a:t> Select</a:t>
          </a:r>
          <a:r>
            <a:rPr lang="en-US" sz="1400" baseline="0">
              <a:solidFill>
                <a:schemeClr val="dk1"/>
              </a:solidFill>
              <a:effectLst/>
              <a:latin typeface="+mn-lt"/>
              <a:ea typeface="+mn-ea"/>
              <a:cs typeface="+mn-cs"/>
            </a:rPr>
            <a:t> 28, 29,30 rows and right click and select insert.</a:t>
          </a:r>
          <a:endParaRPr lang="en-CA" sz="1800">
            <a:effectLst/>
          </a:endParaRPr>
        </a:p>
        <a:p>
          <a:r>
            <a:rPr lang="en-US" sz="1400" baseline="0">
              <a:solidFill>
                <a:schemeClr val="dk1"/>
              </a:solidFill>
              <a:effectLst/>
              <a:latin typeface="+mn-lt"/>
              <a:ea typeface="+mn-ea"/>
              <a:cs typeface="+mn-cs"/>
            </a:rPr>
            <a:t>Now, copy rows 6,7,8 and paste on 28 row</a:t>
          </a:r>
          <a:endParaRPr lang="fi-FI" sz="1400">
            <a:solidFill>
              <a:schemeClr val="dk1"/>
            </a:solidFill>
            <a:effectLst/>
            <a:latin typeface="+mn-lt"/>
            <a:ea typeface="+mn-ea"/>
            <a:cs typeface="+mn-cs"/>
          </a:endParaRPr>
        </a:p>
        <a:p>
          <a:r>
            <a:rPr lang="en-US" sz="1400">
              <a:solidFill>
                <a:schemeClr val="dk1"/>
              </a:solidFill>
              <a:effectLst/>
              <a:latin typeface="+mn-lt"/>
              <a:ea typeface="+mn-ea"/>
              <a:cs typeface="+mn-cs"/>
            </a:rPr>
            <a:t>3. Convert the data including Headings to table  = </a:t>
          </a:r>
          <a:r>
            <a:rPr lang="en-US" sz="1400" b="1">
              <a:solidFill>
                <a:schemeClr val="dk1"/>
              </a:solidFill>
              <a:effectLst/>
              <a:latin typeface="+mn-lt"/>
              <a:ea typeface="+mn-ea"/>
              <a:cs typeface="+mn-cs"/>
            </a:rPr>
            <a:t>OK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4. Remove duplicate rows that were earlier pasted below row 27 (write steps) =</a:t>
          </a:r>
          <a:r>
            <a:rPr lang="en-US" sz="1400" b="1">
              <a:solidFill>
                <a:schemeClr val="dk1"/>
              </a:solidFill>
              <a:effectLst/>
              <a:latin typeface="+mn-lt"/>
              <a:ea typeface="+mn-ea"/>
              <a:cs typeface="+mn-cs"/>
            </a:rPr>
            <a:t>OK</a:t>
          </a:r>
        </a:p>
        <a:p>
          <a:pPr marL="0" marR="0" lvl="0" indent="0"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latin typeface="+mn-lt"/>
              <a:ea typeface="+mn-ea"/>
              <a:cs typeface="+mn-cs"/>
            </a:rPr>
            <a:t>Ans:</a:t>
          </a:r>
          <a:r>
            <a:rPr lang="en-US" sz="1400" b="1" baseline="0">
              <a:solidFill>
                <a:schemeClr val="dk1"/>
              </a:solidFill>
              <a:effectLst/>
              <a:latin typeface="+mn-lt"/>
              <a:ea typeface="+mn-ea"/>
              <a:cs typeface="+mn-cs"/>
            </a:rPr>
            <a:t> </a:t>
          </a:r>
          <a:r>
            <a:rPr lang="en-US" sz="1400" b="0" baseline="0">
              <a:solidFill>
                <a:schemeClr val="dk1"/>
              </a:solidFill>
              <a:effectLst/>
              <a:latin typeface="+mn-lt"/>
              <a:ea typeface="+mn-ea"/>
              <a:cs typeface="+mn-cs"/>
            </a:rPr>
            <a:t>Select 28,29,30 rows and right click, select Delete.</a:t>
          </a:r>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5. Sort data by Region Column , order : A to Z (write steps) =</a:t>
          </a:r>
          <a:r>
            <a:rPr lang="en-US" sz="1400" b="1">
              <a:solidFill>
                <a:schemeClr val="dk1"/>
              </a:solidFill>
              <a:effectLst/>
              <a:latin typeface="+mn-lt"/>
              <a:ea typeface="+mn-ea"/>
              <a:cs typeface="+mn-cs"/>
            </a:rPr>
            <a:t>OK</a:t>
          </a:r>
        </a:p>
        <a:p>
          <a:r>
            <a:rPr lang="en-US" sz="1400" b="1">
              <a:solidFill>
                <a:schemeClr val="dk1"/>
              </a:solidFill>
              <a:effectLst/>
              <a:latin typeface="+mn-lt"/>
              <a:ea typeface="+mn-ea"/>
              <a:cs typeface="+mn-cs"/>
            </a:rPr>
            <a:t>Ans: </a:t>
          </a:r>
          <a:r>
            <a:rPr lang="en-US" sz="1400" b="0">
              <a:solidFill>
                <a:schemeClr val="dk1"/>
              </a:solidFill>
              <a:effectLst/>
              <a:latin typeface="+mn-lt"/>
              <a:ea typeface="+mn-ea"/>
              <a:cs typeface="+mn-cs"/>
            </a:rPr>
            <a:t>Insert</a:t>
          </a:r>
          <a:r>
            <a:rPr lang="en-US" sz="1400" b="0" baseline="0">
              <a:solidFill>
                <a:schemeClr val="dk1"/>
              </a:solidFill>
              <a:effectLst/>
              <a:latin typeface="+mn-lt"/>
              <a:ea typeface="+mn-ea"/>
              <a:cs typeface="+mn-cs"/>
            </a:rPr>
            <a:t> Table &gt;&gt; Make sure the Filter button is checked from the Table Design tab and select</a:t>
          </a:r>
        </a:p>
        <a:p>
          <a:r>
            <a:rPr lang="en-US" sz="1400" b="0" baseline="0">
              <a:solidFill>
                <a:schemeClr val="dk1"/>
              </a:solidFill>
              <a:effectLst/>
              <a:latin typeface="+mn-lt"/>
              <a:ea typeface="+mn-ea"/>
              <a:cs typeface="+mn-cs"/>
            </a:rPr>
            <a:t>from the down arrow of the Region column: Choose A to Z</a:t>
          </a:r>
          <a:endParaRPr lang="fi-FI" sz="1400">
            <a:solidFill>
              <a:schemeClr val="dk1"/>
            </a:solidFill>
            <a:effectLst/>
            <a:latin typeface="+mn-lt"/>
            <a:ea typeface="+mn-ea"/>
            <a:cs typeface="+mn-cs"/>
          </a:endParaRPr>
        </a:p>
        <a:p>
          <a:r>
            <a:rPr lang="en-US" sz="1400">
              <a:solidFill>
                <a:schemeClr val="dk1"/>
              </a:solidFill>
              <a:effectLst/>
              <a:latin typeface="+mn-lt"/>
              <a:ea typeface="+mn-ea"/>
              <a:cs typeface="+mn-cs"/>
            </a:rPr>
            <a:t>6. Create a custom filter for Mb Data in Column, get data that are beween 500 &amp; 1000= </a:t>
          </a:r>
          <a:r>
            <a:rPr lang="en-US" sz="1400" b="1">
              <a:solidFill>
                <a:schemeClr val="dk1"/>
              </a:solidFill>
              <a:effectLst/>
              <a:latin typeface="+mn-lt"/>
              <a:ea typeface="+mn-ea"/>
              <a:cs typeface="+mn-cs"/>
            </a:rPr>
            <a:t>OK</a:t>
          </a:r>
        </a:p>
        <a:p>
          <a:r>
            <a:rPr lang="en-US" sz="1400" b="1">
              <a:solidFill>
                <a:schemeClr val="dk1"/>
              </a:solidFill>
              <a:effectLst/>
              <a:latin typeface="+mn-lt"/>
              <a:ea typeface="+mn-ea"/>
              <a:cs typeface="+mn-cs"/>
            </a:rPr>
            <a:t>Ans: </a:t>
          </a:r>
          <a:r>
            <a:rPr lang="en-US" sz="1400" b="0">
              <a:solidFill>
                <a:schemeClr val="dk1"/>
              </a:solidFill>
              <a:effectLst/>
              <a:latin typeface="+mn-lt"/>
              <a:ea typeface="+mn-ea"/>
              <a:cs typeface="+mn-cs"/>
            </a:rPr>
            <a:t>Press</a:t>
          </a:r>
          <a:r>
            <a:rPr lang="en-US" sz="1400" b="0" baseline="0">
              <a:solidFill>
                <a:schemeClr val="dk1"/>
              </a:solidFill>
              <a:effectLst/>
              <a:latin typeface="+mn-lt"/>
              <a:ea typeface="+mn-ea"/>
              <a:cs typeface="+mn-cs"/>
            </a:rPr>
            <a:t> 'Data In = Button' which is custom made by the author and </a:t>
          </a:r>
        </a:p>
        <a:p>
          <a:r>
            <a:rPr lang="en-US" sz="1400" b="0" baseline="0">
              <a:solidFill>
                <a:schemeClr val="dk1"/>
              </a:solidFill>
              <a:effectLst/>
              <a:latin typeface="+mn-lt"/>
              <a:ea typeface="+mn-ea"/>
              <a:cs typeface="+mn-cs"/>
            </a:rPr>
            <a:t>it is located in the H2 , to see the Customized values of Data and press 'Return' to get back.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7. Create Slicers based on Region  = </a:t>
          </a:r>
          <a:r>
            <a:rPr lang="en-US" sz="1400" b="1">
              <a:solidFill>
                <a:schemeClr val="dk1"/>
              </a:solidFill>
              <a:effectLst/>
              <a:latin typeface="+mn-lt"/>
              <a:ea typeface="+mn-ea"/>
              <a:cs typeface="+mn-cs"/>
            </a:rPr>
            <a:t>OK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8. Make Sure that the heading appears always even when scrolling to the bottom of this worksheet. = </a:t>
          </a:r>
          <a:r>
            <a:rPr lang="en-US" sz="1400" b="1">
              <a:solidFill>
                <a:schemeClr val="dk1"/>
              </a:solidFill>
              <a:effectLst/>
              <a:latin typeface="+mn-lt"/>
              <a:ea typeface="+mn-ea"/>
              <a:cs typeface="+mn-cs"/>
            </a:rPr>
            <a:t>OK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9. Format the date colum to make the date appear as 1/10 = </a:t>
          </a:r>
          <a:r>
            <a:rPr lang="en-US" sz="1400" b="1">
              <a:solidFill>
                <a:schemeClr val="dk1"/>
              </a:solidFill>
              <a:effectLst/>
              <a:latin typeface="+mn-lt"/>
              <a:ea typeface="+mn-ea"/>
              <a:cs typeface="+mn-cs"/>
            </a:rPr>
            <a:t>OK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10. Add the data on the right side to your worksheet. = </a:t>
          </a:r>
          <a:r>
            <a:rPr lang="en-US" sz="1400" b="1">
              <a:solidFill>
                <a:schemeClr val="dk1"/>
              </a:solidFill>
              <a:effectLst/>
              <a:latin typeface="+mn-lt"/>
              <a:ea typeface="+mn-ea"/>
              <a:cs typeface="+mn-cs"/>
            </a:rPr>
            <a:t>OK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11.  Add your name as header and page number, date as footer = </a:t>
          </a:r>
          <a:r>
            <a:rPr lang="en-US" sz="1400" b="1">
              <a:solidFill>
                <a:schemeClr val="dk1"/>
              </a:solidFill>
              <a:effectLst/>
              <a:latin typeface="+mn-lt"/>
              <a:ea typeface="+mn-ea"/>
              <a:cs typeface="+mn-cs"/>
            </a:rPr>
            <a:t>OK</a:t>
          </a:r>
        </a:p>
        <a:p>
          <a:r>
            <a:rPr lang="en-US" sz="1400" b="1">
              <a:solidFill>
                <a:schemeClr val="dk1"/>
              </a:solidFill>
              <a:effectLst/>
              <a:latin typeface="+mn-lt"/>
              <a:ea typeface="+mn-ea"/>
              <a:cs typeface="+mn-cs"/>
            </a:rPr>
            <a:t>Ans: </a:t>
          </a:r>
          <a:r>
            <a:rPr lang="en-US" sz="1400" b="0">
              <a:solidFill>
                <a:schemeClr val="dk1"/>
              </a:solidFill>
              <a:effectLst/>
              <a:latin typeface="+mn-lt"/>
              <a:ea typeface="+mn-ea"/>
              <a:cs typeface="+mn-cs"/>
            </a:rPr>
            <a:t> This setting only applies</a:t>
          </a:r>
          <a:r>
            <a:rPr lang="en-US" sz="1400" b="0" baseline="0">
              <a:solidFill>
                <a:schemeClr val="dk1"/>
              </a:solidFill>
              <a:effectLst/>
              <a:latin typeface="+mn-lt"/>
              <a:ea typeface="+mn-ea"/>
              <a:cs typeface="+mn-cs"/>
            </a:rPr>
            <a:t> when Freeze Panes will be disabled, means that </a:t>
          </a:r>
        </a:p>
        <a:p>
          <a:r>
            <a:rPr lang="en-US" sz="1400" b="0" baseline="0">
              <a:solidFill>
                <a:schemeClr val="dk1"/>
              </a:solidFill>
              <a:effectLst/>
              <a:latin typeface="+mn-lt"/>
              <a:ea typeface="+mn-ea"/>
              <a:cs typeface="+mn-cs"/>
            </a:rPr>
            <a:t>if we apply the header footer, then the heading of the sheet would be disabled</a:t>
          </a:r>
        </a:p>
        <a:p>
          <a:r>
            <a:rPr lang="en-US" sz="1400" b="0" baseline="0">
              <a:solidFill>
                <a:schemeClr val="dk1"/>
              </a:solidFill>
              <a:effectLst/>
              <a:latin typeface="+mn-lt"/>
              <a:ea typeface="+mn-ea"/>
              <a:cs typeface="+mn-cs"/>
            </a:rPr>
            <a:t>and during scrolling the sheet, the heading moves too. I have done those header and footer and can be checked in the print preview.</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12. Add total data out &amp; data in for each regions.  = </a:t>
          </a:r>
          <a:r>
            <a:rPr lang="en-US" sz="1400" b="1">
              <a:solidFill>
                <a:schemeClr val="dk1"/>
              </a:solidFill>
              <a:effectLst/>
              <a:latin typeface="+mn-lt"/>
              <a:ea typeface="+mn-ea"/>
              <a:cs typeface="+mn-cs"/>
            </a:rPr>
            <a:t>OK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13. What is the lowest Avg. Bandwidth? = </a:t>
          </a:r>
          <a:r>
            <a:rPr lang="en-US" sz="1400" b="1">
              <a:solidFill>
                <a:schemeClr val="dk1"/>
              </a:solidFill>
              <a:effectLst/>
              <a:latin typeface="+mn-lt"/>
              <a:ea typeface="+mn-ea"/>
              <a:cs typeface="+mn-cs"/>
            </a:rPr>
            <a:t>OK</a:t>
          </a:r>
          <a:endParaRPr lang="fi-FI" sz="1400" b="1">
            <a:solidFill>
              <a:schemeClr val="dk1"/>
            </a:solidFill>
            <a:effectLst/>
            <a:latin typeface="+mn-lt"/>
            <a:ea typeface="+mn-ea"/>
            <a:cs typeface="+mn-cs"/>
          </a:endParaRPr>
        </a:p>
        <a:p>
          <a:r>
            <a:rPr lang="en-US" sz="1400">
              <a:solidFill>
                <a:schemeClr val="dk1"/>
              </a:solidFill>
              <a:effectLst/>
              <a:latin typeface="+mn-lt"/>
              <a:ea typeface="+mn-ea"/>
              <a:cs typeface="+mn-cs"/>
            </a:rPr>
            <a:t>14. What is the maximum Avg. </a:t>
          </a:r>
          <a:r>
            <a:rPr lang="fi-FI" sz="1400">
              <a:solidFill>
                <a:schemeClr val="dk1"/>
              </a:solidFill>
              <a:effectLst/>
              <a:latin typeface="+mn-lt"/>
              <a:ea typeface="+mn-ea"/>
              <a:cs typeface="+mn-cs"/>
            </a:rPr>
            <a:t>Bandwidth? = </a:t>
          </a:r>
          <a:r>
            <a:rPr lang="fi-FI" sz="1400" b="1">
              <a:solidFill>
                <a:schemeClr val="dk1"/>
              </a:solidFill>
              <a:effectLst/>
              <a:latin typeface="+mn-lt"/>
              <a:ea typeface="+mn-ea"/>
              <a:cs typeface="+mn-cs"/>
            </a:rPr>
            <a:t>OK</a:t>
          </a:r>
        </a:p>
        <a:p>
          <a:endParaRPr lang="fi-FI" sz="1100"/>
        </a:p>
      </xdr:txBody>
    </xdr:sp>
    <xdr:clientData/>
  </xdr:twoCellAnchor>
  <xdr:twoCellAnchor editAs="absolute">
    <xdr:from>
      <xdr:col>10</xdr:col>
      <xdr:colOff>19050</xdr:colOff>
      <xdr:row>4</xdr:row>
      <xdr:rowOff>180976</xdr:rowOff>
    </xdr:from>
    <xdr:to>
      <xdr:col>12</xdr:col>
      <xdr:colOff>19050</xdr:colOff>
      <xdr:row>10</xdr:row>
      <xdr:rowOff>66676</xdr:rowOff>
    </xdr:to>
    <mc:AlternateContent xmlns:mc="http://schemas.openxmlformats.org/markup-compatibility/2006" xmlns:sle15="http://schemas.microsoft.com/office/drawing/2012/slicer">
      <mc:Choice Requires="sle15">
        <xdr:graphicFrame macro="">
          <xdr:nvGraphicFramePr>
            <xdr:cNvPr id="4" name="Region">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134725" y="676276"/>
              <a:ext cx="1828800" cy="108585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7</xdr:col>
          <xdr:colOff>809625</xdr:colOff>
          <xdr:row>0</xdr:row>
          <xdr:rowOff>0</xdr:rowOff>
        </xdr:from>
        <xdr:to>
          <xdr:col>8</xdr:col>
          <xdr:colOff>447675</xdr:colOff>
          <xdr:row>2</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cs typeface="Calibri"/>
                </a:rPr>
                <a:t>Data In</a:t>
              </a:r>
            </a:p>
            <a:p>
              <a:pPr algn="ctr" rtl="0">
                <a:defRPr sz="1000"/>
              </a:pPr>
              <a:r>
                <a:rPr lang="en-CA" sz="1200" b="1" i="0" u="none" strike="noStrike" baseline="0">
                  <a:solidFill>
                    <a:srgbClr val="000000"/>
                  </a:solidFill>
                  <a:latin typeface="Calibri"/>
                  <a:cs typeface="Calibri"/>
                </a:rPr>
                <a:t>(500-1000)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638175</xdr:colOff>
          <xdr:row>0</xdr:row>
          <xdr:rowOff>0</xdr:rowOff>
        </xdr:from>
        <xdr:to>
          <xdr:col>9</xdr:col>
          <xdr:colOff>219075</xdr:colOff>
          <xdr:row>2</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cs typeface="Calibri"/>
                </a:rPr>
                <a:t>Return</a:t>
              </a:r>
            </a:p>
            <a:p>
              <a:pPr algn="ctr" rtl="0">
                <a:defRPr sz="1000"/>
              </a:pPr>
              <a:endParaRPr lang="en-CA" sz="1200" b="1"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7</xdr:col>
      <xdr:colOff>171450</xdr:colOff>
      <xdr:row>7</xdr:row>
      <xdr:rowOff>61912</xdr:rowOff>
    </xdr:from>
    <xdr:ext cx="65" cy="172227"/>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838950" y="169068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CA"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0</xdr:rowOff>
    </xdr:from>
    <xdr:to>
      <xdr:col>6</xdr:col>
      <xdr:colOff>66219</xdr:colOff>
      <xdr:row>40</xdr:row>
      <xdr:rowOff>160952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6200" y="0"/>
          <a:ext cx="3647619" cy="77809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466725</xdr:colOff>
      <xdr:row>2</xdr:row>
      <xdr:rowOff>180975</xdr:rowOff>
    </xdr:from>
    <xdr:to>
      <xdr:col>12</xdr:col>
      <xdr:colOff>161925</xdr:colOff>
      <xdr:row>17</xdr:row>
      <xdr:rowOff>66675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447675</xdr:colOff>
      <xdr:row>2</xdr:row>
      <xdr:rowOff>47625</xdr:rowOff>
    </xdr:from>
    <xdr:to>
      <xdr:col>11</xdr:col>
      <xdr:colOff>142875</xdr:colOff>
      <xdr:row>16</xdr:row>
      <xdr:rowOff>123825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561975</xdr:colOff>
      <xdr:row>3</xdr:row>
      <xdr:rowOff>38100</xdr:rowOff>
    </xdr:from>
    <xdr:to>
      <xdr:col>12</xdr:col>
      <xdr:colOff>257175</xdr:colOff>
      <xdr:row>17</xdr:row>
      <xdr:rowOff>114300</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371475</xdr:colOff>
      <xdr:row>2</xdr:row>
      <xdr:rowOff>57150</xdr:rowOff>
    </xdr:from>
    <xdr:to>
      <xdr:col>12</xdr:col>
      <xdr:colOff>66675</xdr:colOff>
      <xdr:row>16</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15</xdr:row>
      <xdr:rowOff>0</xdr:rowOff>
    </xdr:from>
    <xdr:to>
      <xdr:col>12</xdr:col>
      <xdr:colOff>304800</xdr:colOff>
      <xdr:row>29</xdr:row>
      <xdr:rowOff>76200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B1C441D-4D80-47AC-A6C7-4EE31FA1A8DD}" sourceName="Region">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8D8CFD8-BFEA-47C0-A916-F4EBE4BCCF13}" cache="Slicer_Region" caption="Reg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78D83D-A455-4B44-BAB2-E1AB4C47E108}" name="Table1" displayName="Table1" ref="A5:J140" totalsRowShown="0" headerRowDxfId="17">
  <autoFilter ref="A5:J140" xr:uid="{DB78D83D-A455-4B44-BAB2-E1AB4C47E108}"/>
  <sortState xmlns:xlrd2="http://schemas.microsoft.com/office/spreadsheetml/2017/richdata2" ref="A6:G140">
    <sortCondition ref="C5:C140"/>
  </sortState>
  <tableColumns count="10">
    <tableColumn id="1" xr3:uid="{144DB39C-C5F9-4747-8B10-8913A13DE006}" name="Date" dataDxfId="16" totalsRowDxfId="15"/>
    <tableColumn id="2" xr3:uid="{5390AC47-BD2F-4D2A-8224-512F5EC3D996}" name="Department" dataDxfId="14" totalsRowDxfId="13"/>
    <tableColumn id="3" xr3:uid="{258E0DB6-F674-4600-BB67-6535087F0CF2}" name="Region" dataDxfId="12" totalsRowDxfId="11"/>
    <tableColumn id="4" xr3:uid="{CE7165C4-6DCF-4425-9878-F50547FF8AA0}" name="Avg. Bandwidth" dataDxfId="10" totalsRowDxfId="9"/>
    <tableColumn id="5" xr3:uid="{A723476B-F89E-4F18-947D-D24ED4057CF7}" name="Data In" totalsRowDxfId="8"/>
    <tableColumn id="6" xr3:uid="{E3690E4A-084A-4D1D-B31D-188B27B7498D}" name="Data Out" totalsRowDxfId="7"/>
    <tableColumn id="7" xr3:uid="{3DD86AE6-1BA8-4AF7-B4F1-1A03A933EA69}" name="Transactions" totalsRowDxfId="6"/>
    <tableColumn id="11" xr3:uid="{FFFB06F4-41EF-4FD5-BAA9-511DFBB583D6}" name="Total Data in &amp; Out" dataDxfId="5" totalsRowDxfId="4">
      <calculatedColumnFormula>SUM(Table1[[#This Row],[Data In]:[Data Out]])</calculatedColumnFormula>
    </tableColumn>
    <tableColumn id="8" xr3:uid="{98094FD5-AA2C-4850-8124-BB5FE34ADA69}" name="Min Avg. Bandwidth" dataDxfId="3" totalsRowDxfId="2">
      <calculatedColumnFormula>MIN(Table1[Avg. Bandwidth])</calculatedColumnFormula>
    </tableColumn>
    <tableColumn id="9" xr3:uid="{33059FC0-85EE-49A6-AF6D-6DD61A32B8A4}" name="Max Avg. Bandwidth" dataDxfId="1" totalsRowDxfId="0">
      <calculatedColumnFormula>MAX(Table1[Avg. Bandwidth])</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688D7-2C2D-454F-955A-9598BEDF7455}">
  <dimension ref="A1:T150"/>
  <sheetViews>
    <sheetView tabSelected="1" topLeftCell="D1" workbookViewId="0">
      <pane ySplit="5" topLeftCell="A25" activePane="bottomLeft" state="frozen"/>
      <selection pane="bottomLeft" activeCell="C9" sqref="C9"/>
    </sheetView>
  </sheetViews>
  <sheetFormatPr defaultColWidth="8.85546875" defaultRowHeight="15.75" thickBottom="1" x14ac:dyDescent="0.35"/>
  <cols>
    <col min="1" max="1" width="9" style="9" customWidth="1"/>
    <col min="2" max="2" width="17.7109375" style="10" customWidth="1"/>
    <col min="3" max="3" width="11.42578125" style="11" bestFit="1" customWidth="1"/>
    <col min="4" max="4" width="17" style="17" customWidth="1"/>
    <col min="5" max="6" width="13.7109375" style="16" customWidth="1"/>
    <col min="7" max="7" width="14.42578125" style="16" customWidth="1"/>
    <col min="8" max="8" width="22.5703125" style="16" bestFit="1" customWidth="1"/>
    <col min="9" max="9" width="23.42578125" style="16" bestFit="1" customWidth="1"/>
    <col min="10" max="10" width="23.7109375" style="16" bestFit="1" customWidth="1"/>
    <col min="11" max="20" width="13.7109375" style="16" customWidth="1"/>
    <col min="21" max="16384" width="8.85546875" style="16"/>
  </cols>
  <sheetData>
    <row r="1" spans="1:20" s="2" customFormat="1" ht="29.45" hidden="1" customHeight="1" x14ac:dyDescent="0.3">
      <c r="A1" s="1"/>
      <c r="F1" s="3" t="s">
        <v>38</v>
      </c>
    </row>
    <row r="2" spans="1:20" s="2" customFormat="1" ht="15" x14ac:dyDescent="0.3">
      <c r="A2" s="1"/>
      <c r="F2" s="2" t="s">
        <v>39</v>
      </c>
    </row>
    <row r="3" spans="1:20" s="2" customFormat="1" x14ac:dyDescent="0.3">
      <c r="A3" s="1"/>
      <c r="F3" s="4" t="s">
        <v>40</v>
      </c>
    </row>
    <row r="4" spans="1:20" s="6" customFormat="1" ht="8.4499999999999993" customHeight="1" x14ac:dyDescent="0.15">
      <c r="A4" s="5"/>
      <c r="D4" s="6" t="s">
        <v>41</v>
      </c>
      <c r="E4" s="6" t="s">
        <v>42</v>
      </c>
      <c r="F4" s="6" t="s">
        <v>42</v>
      </c>
    </row>
    <row r="5" spans="1:20" s="8" customFormat="1" ht="15" x14ac:dyDescent="0.3">
      <c r="A5" s="7" t="s">
        <v>43</v>
      </c>
      <c r="B5" s="8" t="s">
        <v>44</v>
      </c>
      <c r="C5" s="8" t="s">
        <v>45</v>
      </c>
      <c r="D5" s="8" t="s">
        <v>46</v>
      </c>
      <c r="E5" s="8" t="s">
        <v>47</v>
      </c>
      <c r="F5" s="8" t="s">
        <v>48</v>
      </c>
      <c r="G5" s="8" t="s">
        <v>49</v>
      </c>
      <c r="H5" s="8" t="s">
        <v>63</v>
      </c>
      <c r="I5" s="20" t="s">
        <v>61</v>
      </c>
      <c r="J5" s="20" t="s">
        <v>62</v>
      </c>
    </row>
    <row r="6" spans="1:20" s="13" customFormat="1" ht="16.5" thickBot="1" x14ac:dyDescent="0.35">
      <c r="A6" s="43">
        <v>41456</v>
      </c>
      <c r="B6" s="10" t="s">
        <v>50</v>
      </c>
      <c r="C6" s="11" t="s">
        <v>53</v>
      </c>
      <c r="D6" s="12">
        <v>51.6</v>
      </c>
      <c r="E6">
        <v>495</v>
      </c>
      <c r="F6">
        <v>2943</v>
      </c>
      <c r="G6">
        <v>9103</v>
      </c>
      <c r="H6">
        <f>SUM(Table1[[#This Row],[Data In]:[Data Out]])</f>
        <v>3438</v>
      </c>
      <c r="I6" s="12">
        <f>MIN(Table1[Avg. Bandwidth])</f>
        <v>8.3000000000000007</v>
      </c>
      <c r="J6" s="18">
        <f>MAX(Table1[Avg. Bandwidth])</f>
        <v>273.3</v>
      </c>
      <c r="K6"/>
      <c r="L6"/>
      <c r="M6"/>
      <c r="N6"/>
      <c r="O6"/>
      <c r="P6"/>
      <c r="Q6"/>
      <c r="R6"/>
      <c r="S6"/>
      <c r="T6"/>
    </row>
    <row r="7" spans="1:20" s="14" customFormat="1" x14ac:dyDescent="0.3">
      <c r="A7" s="43">
        <v>41456</v>
      </c>
      <c r="B7" s="10" t="s">
        <v>54</v>
      </c>
      <c r="C7" s="11" t="s">
        <v>53</v>
      </c>
      <c r="D7" s="12">
        <v>89.1</v>
      </c>
      <c r="E7">
        <v>1064</v>
      </c>
      <c r="F7">
        <v>3946</v>
      </c>
      <c r="G7">
        <v>29431</v>
      </c>
      <c r="H7">
        <f>SUM(Table1[[#This Row],[Data In]:[Data Out]])</f>
        <v>5010</v>
      </c>
      <c r="I7" s="12">
        <f>MIN(Table1[Avg. Bandwidth])</f>
        <v>8.3000000000000007</v>
      </c>
      <c r="J7" s="19">
        <f>MAX(Table1[Avg. Bandwidth])</f>
        <v>273.3</v>
      </c>
      <c r="K7"/>
      <c r="L7"/>
      <c r="M7"/>
      <c r="N7"/>
      <c r="O7"/>
      <c r="P7"/>
      <c r="Q7"/>
      <c r="R7"/>
      <c r="S7"/>
      <c r="T7"/>
    </row>
    <row r="8" spans="1:20" s="14" customFormat="1" x14ac:dyDescent="0.3">
      <c r="A8" s="43">
        <v>41456</v>
      </c>
      <c r="B8" s="10" t="s">
        <v>55</v>
      </c>
      <c r="C8" s="11" t="s">
        <v>53</v>
      </c>
      <c r="D8" s="12">
        <v>12.4</v>
      </c>
      <c r="E8">
        <v>674</v>
      </c>
      <c r="F8">
        <v>943</v>
      </c>
      <c r="G8">
        <v>4121</v>
      </c>
      <c r="H8">
        <f>SUM(Table1[[#This Row],[Data In]:[Data Out]])</f>
        <v>1617</v>
      </c>
      <c r="I8" s="12">
        <f>MIN(Table1[Avg. Bandwidth])</f>
        <v>8.3000000000000007</v>
      </c>
      <c r="J8" s="19">
        <f>MAX(Table1[Avg. Bandwidth])</f>
        <v>273.3</v>
      </c>
      <c r="K8"/>
      <c r="L8"/>
      <c r="M8"/>
      <c r="N8"/>
      <c r="O8"/>
      <c r="P8"/>
      <c r="Q8"/>
      <c r="R8"/>
      <c r="S8"/>
      <c r="T8"/>
    </row>
    <row r="9" spans="1:20" s="14" customFormat="1" x14ac:dyDescent="0.3">
      <c r="A9" s="43">
        <v>41456</v>
      </c>
      <c r="B9" s="10" t="s">
        <v>56</v>
      </c>
      <c r="C9" s="11" t="s">
        <v>53</v>
      </c>
      <c r="D9" s="12">
        <v>214.7</v>
      </c>
      <c r="E9">
        <v>3169</v>
      </c>
      <c r="F9">
        <v>21661</v>
      </c>
      <c r="G9">
        <v>81355</v>
      </c>
      <c r="H9">
        <f>SUM(Table1[[#This Row],[Data In]:[Data Out]])</f>
        <v>24830</v>
      </c>
      <c r="I9" s="12">
        <f>MIN(Table1[Avg. Bandwidth])</f>
        <v>8.3000000000000007</v>
      </c>
      <c r="J9" s="19">
        <f>MAX(Table1[Avg. Bandwidth])</f>
        <v>273.3</v>
      </c>
      <c r="K9"/>
      <c r="L9"/>
      <c r="M9"/>
      <c r="N9"/>
      <c r="O9"/>
      <c r="P9"/>
      <c r="Q9"/>
      <c r="R9"/>
      <c r="S9"/>
      <c r="T9"/>
    </row>
    <row r="10" spans="1:20" s="14" customFormat="1" x14ac:dyDescent="0.3">
      <c r="A10" s="43">
        <v>41456</v>
      </c>
      <c r="B10" s="10" t="s">
        <v>57</v>
      </c>
      <c r="C10" s="11" t="s">
        <v>53</v>
      </c>
      <c r="D10" s="12">
        <v>109.9</v>
      </c>
      <c r="E10">
        <v>1974</v>
      </c>
      <c r="F10">
        <v>15464</v>
      </c>
      <c r="G10">
        <v>65467</v>
      </c>
      <c r="H10">
        <f>SUM(Table1[[#This Row],[Data In]:[Data Out]])</f>
        <v>17438</v>
      </c>
      <c r="I10" s="12">
        <f>MIN(Table1[Avg. Bandwidth])</f>
        <v>8.3000000000000007</v>
      </c>
      <c r="J10" s="19">
        <f>MAX(Table1[Avg. Bandwidth])</f>
        <v>273.3</v>
      </c>
      <c r="K10"/>
      <c r="L10"/>
      <c r="M10"/>
      <c r="N10"/>
      <c r="O10"/>
      <c r="P10"/>
      <c r="Q10"/>
      <c r="R10"/>
      <c r="S10"/>
      <c r="T10"/>
    </row>
    <row r="11" spans="1:20" s="14" customFormat="1" x14ac:dyDescent="0.3">
      <c r="A11" s="43">
        <v>41463</v>
      </c>
      <c r="B11" s="10" t="s">
        <v>50</v>
      </c>
      <c r="C11" s="11" t="s">
        <v>53</v>
      </c>
      <c r="D11" s="12">
        <v>49.6</v>
      </c>
      <c r="E11">
        <v>487</v>
      </c>
      <c r="F11">
        <v>2876</v>
      </c>
      <c r="G11">
        <v>8943</v>
      </c>
      <c r="H11">
        <f>SUM(Table1[[#This Row],[Data In]:[Data Out]])</f>
        <v>3363</v>
      </c>
      <c r="I11" s="12">
        <f>MIN(Table1[Avg. Bandwidth])</f>
        <v>8.3000000000000007</v>
      </c>
      <c r="J11" s="19">
        <f>MAX(Table1[Avg. Bandwidth])</f>
        <v>273.3</v>
      </c>
      <c r="K11"/>
      <c r="L11"/>
      <c r="M11"/>
      <c r="N11"/>
      <c r="O11"/>
      <c r="P11"/>
      <c r="Q11"/>
      <c r="R11"/>
      <c r="S11"/>
      <c r="T11"/>
    </row>
    <row r="12" spans="1:20" s="14" customFormat="1" x14ac:dyDescent="0.3">
      <c r="A12" s="43">
        <v>41463</v>
      </c>
      <c r="B12" s="10" t="s">
        <v>54</v>
      </c>
      <c r="C12" s="11" t="s">
        <v>53</v>
      </c>
      <c r="D12" s="12">
        <v>84.5</v>
      </c>
      <c r="E12">
        <v>984</v>
      </c>
      <c r="F12">
        <v>3761</v>
      </c>
      <c r="G12">
        <v>24675</v>
      </c>
      <c r="H12">
        <f>SUM(Table1[[#This Row],[Data In]:[Data Out]])</f>
        <v>4745</v>
      </c>
      <c r="I12" s="12">
        <f>MIN(Table1[Avg. Bandwidth])</f>
        <v>8.3000000000000007</v>
      </c>
      <c r="J12" s="19">
        <f>MAX(Table1[Avg. Bandwidth])</f>
        <v>273.3</v>
      </c>
      <c r="K12"/>
      <c r="L12"/>
      <c r="M12"/>
      <c r="N12"/>
      <c r="O12"/>
      <c r="P12"/>
      <c r="Q12"/>
      <c r="R12"/>
      <c r="S12"/>
      <c r="T12"/>
    </row>
    <row r="13" spans="1:20" s="14" customFormat="1" x14ac:dyDescent="0.3">
      <c r="A13" s="43">
        <v>41463</v>
      </c>
      <c r="B13" s="10" t="s">
        <v>55</v>
      </c>
      <c r="C13" s="11" t="s">
        <v>53</v>
      </c>
      <c r="D13" s="12">
        <v>9.8000000000000007</v>
      </c>
      <c r="E13">
        <v>584</v>
      </c>
      <c r="F13">
        <v>874</v>
      </c>
      <c r="G13">
        <v>3765</v>
      </c>
      <c r="H13">
        <f>SUM(Table1[[#This Row],[Data In]:[Data Out]])</f>
        <v>1458</v>
      </c>
      <c r="I13" s="12">
        <f>MIN(Table1[Avg. Bandwidth])</f>
        <v>8.3000000000000007</v>
      </c>
      <c r="J13" s="19">
        <f>MAX(Table1[Avg. Bandwidth])</f>
        <v>273.3</v>
      </c>
      <c r="K13"/>
      <c r="L13"/>
      <c r="M13"/>
      <c r="N13"/>
      <c r="O13"/>
      <c r="P13"/>
      <c r="Q13"/>
      <c r="R13"/>
      <c r="S13"/>
      <c r="T13"/>
    </row>
    <row r="14" spans="1:20" s="14" customFormat="1" x14ac:dyDescent="0.3">
      <c r="A14" s="43">
        <v>41463</v>
      </c>
      <c r="B14" s="10" t="s">
        <v>56</v>
      </c>
      <c r="C14" s="11" t="s">
        <v>53</v>
      </c>
      <c r="D14" s="12">
        <v>205.6</v>
      </c>
      <c r="E14">
        <v>3024</v>
      </c>
      <c r="F14">
        <v>20461</v>
      </c>
      <c r="G14">
        <v>79404</v>
      </c>
      <c r="H14">
        <f>SUM(Table1[[#This Row],[Data In]:[Data Out]])</f>
        <v>23485</v>
      </c>
      <c r="I14" s="12">
        <f>MIN(Table1[Avg. Bandwidth])</f>
        <v>8.3000000000000007</v>
      </c>
      <c r="J14" s="19">
        <f>MAX(Table1[Avg. Bandwidth])</f>
        <v>273.3</v>
      </c>
      <c r="K14"/>
      <c r="L14"/>
      <c r="M14"/>
      <c r="N14"/>
      <c r="O14"/>
      <c r="P14"/>
      <c r="Q14"/>
      <c r="R14"/>
      <c r="S14"/>
      <c r="T14"/>
    </row>
    <row r="15" spans="1:20" s="14" customFormat="1" x14ac:dyDescent="0.3">
      <c r="A15" s="43">
        <v>41463</v>
      </c>
      <c r="B15" s="10" t="s">
        <v>57</v>
      </c>
      <c r="C15" s="11" t="s">
        <v>53</v>
      </c>
      <c r="D15" s="12">
        <v>97</v>
      </c>
      <c r="E15">
        <v>1821</v>
      </c>
      <c r="F15">
        <v>13467</v>
      </c>
      <c r="G15">
        <v>61034</v>
      </c>
      <c r="H15">
        <f>SUM(Table1[[#This Row],[Data In]:[Data Out]])</f>
        <v>15288</v>
      </c>
      <c r="I15" s="12">
        <f>MIN(Table1[Avg. Bandwidth])</f>
        <v>8.3000000000000007</v>
      </c>
      <c r="J15" s="19">
        <f>MAX(Table1[Avg. Bandwidth])</f>
        <v>273.3</v>
      </c>
      <c r="K15"/>
      <c r="L15"/>
      <c r="M15"/>
      <c r="N15"/>
      <c r="O15"/>
      <c r="P15"/>
      <c r="Q15"/>
      <c r="R15"/>
      <c r="S15"/>
      <c r="T15"/>
    </row>
    <row r="16" spans="1:20" s="14" customFormat="1" x14ac:dyDescent="0.3">
      <c r="A16" s="43">
        <v>41470</v>
      </c>
      <c r="B16" s="10" t="s">
        <v>50</v>
      </c>
      <c r="C16" s="11" t="s">
        <v>53</v>
      </c>
      <c r="D16" s="12">
        <v>48.9</v>
      </c>
      <c r="E16">
        <v>475</v>
      </c>
      <c r="F16">
        <v>2779</v>
      </c>
      <c r="G16">
        <v>8764</v>
      </c>
      <c r="H16">
        <f>SUM(Table1[[#This Row],[Data In]:[Data Out]])</f>
        <v>3254</v>
      </c>
      <c r="I16" s="12">
        <f>MIN(Table1[Avg. Bandwidth])</f>
        <v>8.3000000000000007</v>
      </c>
      <c r="J16" s="19">
        <f>MAX(Table1[Avg. Bandwidth])</f>
        <v>273.3</v>
      </c>
      <c r="K16"/>
      <c r="L16"/>
      <c r="M16"/>
      <c r="N16"/>
      <c r="O16"/>
      <c r="P16"/>
      <c r="Q16"/>
      <c r="R16"/>
      <c r="S16"/>
      <c r="T16"/>
    </row>
    <row r="17" spans="1:20" s="14" customFormat="1" x14ac:dyDescent="0.3">
      <c r="A17" s="43">
        <v>41470</v>
      </c>
      <c r="B17" s="10" t="s">
        <v>54</v>
      </c>
      <c r="C17" s="11" t="s">
        <v>53</v>
      </c>
      <c r="D17" s="12">
        <v>81.400000000000006</v>
      </c>
      <c r="E17">
        <v>975</v>
      </c>
      <c r="F17">
        <v>3644</v>
      </c>
      <c r="G17">
        <v>24651</v>
      </c>
      <c r="H17">
        <f>SUM(Table1[[#This Row],[Data In]:[Data Out]])</f>
        <v>4619</v>
      </c>
      <c r="I17" s="12">
        <f>MIN(Table1[Avg. Bandwidth])</f>
        <v>8.3000000000000007</v>
      </c>
      <c r="J17" s="19">
        <f>MAX(Table1[Avg. Bandwidth])</f>
        <v>273.3</v>
      </c>
      <c r="K17"/>
      <c r="L17"/>
      <c r="M17"/>
      <c r="N17"/>
      <c r="O17"/>
      <c r="P17"/>
      <c r="Q17"/>
      <c r="R17"/>
      <c r="S17"/>
      <c r="T17"/>
    </row>
    <row r="18" spans="1:20" s="14" customFormat="1" x14ac:dyDescent="0.3">
      <c r="A18" s="43">
        <v>41470</v>
      </c>
      <c r="B18" s="10" t="s">
        <v>55</v>
      </c>
      <c r="C18" s="11" t="s">
        <v>53</v>
      </c>
      <c r="D18" s="12">
        <v>10.1</v>
      </c>
      <c r="E18">
        <v>912</v>
      </c>
      <c r="F18">
        <v>897</v>
      </c>
      <c r="G18">
        <v>3789</v>
      </c>
      <c r="H18">
        <f>SUM(Table1[[#This Row],[Data In]:[Data Out]])</f>
        <v>1809</v>
      </c>
      <c r="I18" s="12">
        <f>MIN(Table1[Avg. Bandwidth])</f>
        <v>8.3000000000000007</v>
      </c>
      <c r="J18" s="19">
        <f>MAX(Table1[Avg. Bandwidth])</f>
        <v>273.3</v>
      </c>
      <c r="K18"/>
      <c r="L18"/>
      <c r="M18"/>
      <c r="N18"/>
      <c r="O18"/>
      <c r="P18"/>
      <c r="Q18"/>
      <c r="R18"/>
      <c r="S18"/>
      <c r="T18"/>
    </row>
    <row r="19" spans="1:20" s="14" customFormat="1" x14ac:dyDescent="0.3">
      <c r="A19" s="43">
        <v>41470</v>
      </c>
      <c r="B19" s="10" t="s">
        <v>56</v>
      </c>
      <c r="C19" s="11" t="s">
        <v>53</v>
      </c>
      <c r="D19" s="12">
        <v>228.9</v>
      </c>
      <c r="E19">
        <v>4651</v>
      </c>
      <c r="F19">
        <v>23464</v>
      </c>
      <c r="G19">
        <v>83545</v>
      </c>
      <c r="H19">
        <f>SUM(Table1[[#This Row],[Data In]:[Data Out]])</f>
        <v>28115</v>
      </c>
      <c r="I19" s="12">
        <f>MIN(Table1[Avg. Bandwidth])</f>
        <v>8.3000000000000007</v>
      </c>
      <c r="J19" s="19">
        <f>MAX(Table1[Avg. Bandwidth])</f>
        <v>273.3</v>
      </c>
      <c r="K19"/>
      <c r="L19"/>
      <c r="M19"/>
      <c r="N19"/>
      <c r="O19"/>
      <c r="P19"/>
      <c r="Q19"/>
      <c r="R19"/>
      <c r="S19"/>
      <c r="T19"/>
    </row>
    <row r="20" spans="1:20" s="14" customFormat="1" x14ac:dyDescent="0.3">
      <c r="A20" s="43">
        <v>41470</v>
      </c>
      <c r="B20" s="10" t="s">
        <v>57</v>
      </c>
      <c r="C20" s="11" t="s">
        <v>53</v>
      </c>
      <c r="D20" s="12">
        <v>105.1</v>
      </c>
      <c r="E20">
        <v>2004</v>
      </c>
      <c r="F20">
        <v>15674</v>
      </c>
      <c r="G20">
        <v>63504</v>
      </c>
      <c r="H20">
        <f>SUM(Table1[[#This Row],[Data In]:[Data Out]])</f>
        <v>17678</v>
      </c>
      <c r="I20" s="12">
        <f>MIN(Table1[Avg. Bandwidth])</f>
        <v>8.3000000000000007</v>
      </c>
      <c r="J20">
        <f>MAX(Table1[Avg. Bandwidth])</f>
        <v>273.3</v>
      </c>
      <c r="K20"/>
      <c r="L20"/>
      <c r="M20"/>
      <c r="N20"/>
      <c r="O20"/>
      <c r="P20" s="15"/>
      <c r="Q20"/>
      <c r="R20"/>
      <c r="S20"/>
      <c r="T20"/>
    </row>
    <row r="21" spans="1:20" s="14" customFormat="1" x14ac:dyDescent="0.3">
      <c r="A21" s="43">
        <v>41477</v>
      </c>
      <c r="B21" s="10" t="s">
        <v>50</v>
      </c>
      <c r="C21" s="11" t="s">
        <v>53</v>
      </c>
      <c r="D21" s="12">
        <v>50.1</v>
      </c>
      <c r="E21">
        <v>499</v>
      </c>
      <c r="F21">
        <v>2810</v>
      </c>
      <c r="G21">
        <v>8945</v>
      </c>
      <c r="H21">
        <f>SUM(Table1[[#This Row],[Data In]:[Data Out]])</f>
        <v>3309</v>
      </c>
      <c r="I21" s="12">
        <f>MIN(Table1[Avg. Bandwidth])</f>
        <v>8.3000000000000007</v>
      </c>
      <c r="J21">
        <f>MAX(Table1[Avg. Bandwidth])</f>
        <v>273.3</v>
      </c>
      <c r="K21"/>
    </row>
    <row r="22" spans="1:20" s="14" customFormat="1" x14ac:dyDescent="0.3">
      <c r="A22" s="43">
        <v>41477</v>
      </c>
      <c r="B22" s="10" t="s">
        <v>54</v>
      </c>
      <c r="C22" s="11" t="s">
        <v>53</v>
      </c>
      <c r="D22" s="12">
        <v>83.8</v>
      </c>
      <c r="E22">
        <v>1034</v>
      </c>
      <c r="F22">
        <v>3897</v>
      </c>
      <c r="G22">
        <v>26103</v>
      </c>
      <c r="H22">
        <f>SUM(Table1[[#This Row],[Data In]:[Data Out]])</f>
        <v>4931</v>
      </c>
      <c r="I22" s="12">
        <f>MIN(Table1[Avg. Bandwidth])</f>
        <v>8.3000000000000007</v>
      </c>
      <c r="J22">
        <f>MAX(Table1[Avg. Bandwidth])</f>
        <v>273.3</v>
      </c>
      <c r="K22" s="19"/>
    </row>
    <row r="23" spans="1:20" s="14" customFormat="1" x14ac:dyDescent="0.3">
      <c r="A23" s="43">
        <v>41477</v>
      </c>
      <c r="B23" s="10" t="s">
        <v>55</v>
      </c>
      <c r="C23" s="11" t="s">
        <v>53</v>
      </c>
      <c r="D23" s="12">
        <v>9.6999999999999993</v>
      </c>
      <c r="E23">
        <v>894</v>
      </c>
      <c r="F23">
        <v>984</v>
      </c>
      <c r="G23">
        <v>3756</v>
      </c>
      <c r="H23">
        <f>SUM(Table1[[#This Row],[Data In]:[Data Out]])</f>
        <v>1878</v>
      </c>
      <c r="I23" s="12">
        <f>MIN(Table1[Avg. Bandwidth])</f>
        <v>8.3000000000000007</v>
      </c>
      <c r="J23">
        <f>MAX(Table1[Avg. Bandwidth])</f>
        <v>273.3</v>
      </c>
      <c r="K23" s="19"/>
    </row>
    <row r="24" spans="1:20" s="14" customFormat="1" x14ac:dyDescent="0.3">
      <c r="A24" s="43">
        <v>41477</v>
      </c>
      <c r="B24" s="10" t="s">
        <v>56</v>
      </c>
      <c r="C24" s="11" t="s">
        <v>53</v>
      </c>
      <c r="D24" s="12">
        <v>229.1</v>
      </c>
      <c r="E24">
        <v>4887</v>
      </c>
      <c r="F24">
        <v>23106</v>
      </c>
      <c r="G24">
        <v>84512</v>
      </c>
      <c r="H24">
        <f>SUM(Table1[[#This Row],[Data In]:[Data Out]])</f>
        <v>27993</v>
      </c>
      <c r="I24" s="12">
        <f>MIN(Table1[Avg. Bandwidth])</f>
        <v>8.3000000000000007</v>
      </c>
      <c r="J24">
        <f>MAX(Table1[Avg. Bandwidth])</f>
        <v>273.3</v>
      </c>
      <c r="K24" s="19"/>
    </row>
    <row r="25" spans="1:20" s="14" customFormat="1" x14ac:dyDescent="0.3">
      <c r="A25" s="43">
        <v>41477</v>
      </c>
      <c r="B25" s="10" t="s">
        <v>57</v>
      </c>
      <c r="C25" s="11" t="s">
        <v>53</v>
      </c>
      <c r="D25" s="12">
        <v>121.3</v>
      </c>
      <c r="E25">
        <v>2164</v>
      </c>
      <c r="F25">
        <v>17985</v>
      </c>
      <c r="G25">
        <v>65658</v>
      </c>
      <c r="H25">
        <f>SUM(Table1[[#This Row],[Data In]:[Data Out]])</f>
        <v>20149</v>
      </c>
      <c r="I25" s="12">
        <f>MIN(Table1[Avg. Bandwidth])</f>
        <v>8.3000000000000007</v>
      </c>
      <c r="J25">
        <f>MAX(Table1[Avg. Bandwidth])</f>
        <v>273.3</v>
      </c>
      <c r="K25" s="19"/>
    </row>
    <row r="26" spans="1:20" s="14" customFormat="1" x14ac:dyDescent="0.3">
      <c r="A26" s="43">
        <v>41484</v>
      </c>
      <c r="B26" s="10" t="s">
        <v>50</v>
      </c>
      <c r="C26" s="11" t="s">
        <v>53</v>
      </c>
      <c r="D26" s="12">
        <v>54.3</v>
      </c>
      <c r="E26">
        <v>515</v>
      </c>
      <c r="F26">
        <v>2824</v>
      </c>
      <c r="G26">
        <v>8765</v>
      </c>
      <c r="H26">
        <f>SUM(Table1[[#This Row],[Data In]:[Data Out]])</f>
        <v>3339</v>
      </c>
      <c r="I26" s="12">
        <f>MIN(Table1[Avg. Bandwidth])</f>
        <v>8.3000000000000007</v>
      </c>
      <c r="J26">
        <f>MAX(Table1[Avg. Bandwidth])</f>
        <v>273.3</v>
      </c>
      <c r="K26" s="19"/>
    </row>
    <row r="27" spans="1:20" s="14" customFormat="1" x14ac:dyDescent="0.3">
      <c r="A27" s="43">
        <v>41484</v>
      </c>
      <c r="B27" s="10" t="s">
        <v>54</v>
      </c>
      <c r="C27" s="11" t="s">
        <v>53</v>
      </c>
      <c r="D27" s="12">
        <v>84.7</v>
      </c>
      <c r="E27">
        <v>989</v>
      </c>
      <c r="F27">
        <v>5864</v>
      </c>
      <c r="G27">
        <v>28315</v>
      </c>
      <c r="H27">
        <f>SUM(Table1[[#This Row],[Data In]:[Data Out]])</f>
        <v>6853</v>
      </c>
      <c r="I27" s="12">
        <f>MIN(Table1[Avg. Bandwidth])</f>
        <v>8.3000000000000007</v>
      </c>
      <c r="J27">
        <f>MAX(Table1[Avg. Bandwidth])</f>
        <v>273.3</v>
      </c>
      <c r="K27" s="19"/>
    </row>
    <row r="28" spans="1:20" s="14" customFormat="1" x14ac:dyDescent="0.3">
      <c r="A28" s="43">
        <v>41484</v>
      </c>
      <c r="B28" s="10" t="s">
        <v>55</v>
      </c>
      <c r="C28" s="11" t="s">
        <v>53</v>
      </c>
      <c r="D28" s="12">
        <v>11.6</v>
      </c>
      <c r="E28">
        <v>721</v>
      </c>
      <c r="F28">
        <v>991</v>
      </c>
      <c r="G28">
        <v>4110</v>
      </c>
      <c r="H28">
        <f>SUM(Table1[[#This Row],[Data In]:[Data Out]])</f>
        <v>1712</v>
      </c>
      <c r="I28" s="12">
        <f>MIN(Table1[Avg. Bandwidth])</f>
        <v>8.3000000000000007</v>
      </c>
      <c r="J28">
        <f>MAX(Table1[Avg. Bandwidth])</f>
        <v>273.3</v>
      </c>
      <c r="K28" s="19"/>
    </row>
    <row r="29" spans="1:20" s="14" customFormat="1" x14ac:dyDescent="0.3">
      <c r="A29" s="43">
        <v>41484</v>
      </c>
      <c r="B29" s="10" t="s">
        <v>56</v>
      </c>
      <c r="C29" s="11" t="s">
        <v>53</v>
      </c>
      <c r="D29" s="12">
        <v>230.5</v>
      </c>
      <c r="E29">
        <v>4971</v>
      </c>
      <c r="F29">
        <v>23997</v>
      </c>
      <c r="G29">
        <v>85647</v>
      </c>
      <c r="H29">
        <f>SUM(Table1[[#This Row],[Data In]:[Data Out]])</f>
        <v>28968</v>
      </c>
      <c r="I29" s="12">
        <f>MIN(Table1[Avg. Bandwidth])</f>
        <v>8.3000000000000007</v>
      </c>
      <c r="J29">
        <f>MAX(Table1[Avg. Bandwidth])</f>
        <v>273.3</v>
      </c>
      <c r="K29"/>
      <c r="L29"/>
      <c r="M29"/>
      <c r="N29"/>
      <c r="O29"/>
      <c r="P29"/>
      <c r="Q29"/>
      <c r="R29"/>
      <c r="S29"/>
      <c r="T29"/>
    </row>
    <row r="30" spans="1:20" x14ac:dyDescent="0.3">
      <c r="A30" s="43">
        <v>41484</v>
      </c>
      <c r="B30" s="10" t="s">
        <v>57</v>
      </c>
      <c r="C30" s="11" t="s">
        <v>53</v>
      </c>
      <c r="D30" s="12">
        <v>108.5</v>
      </c>
      <c r="E30">
        <v>1954</v>
      </c>
      <c r="F30">
        <v>16811</v>
      </c>
      <c r="G30">
        <v>63004</v>
      </c>
      <c r="H30">
        <f>SUM(Table1[[#This Row],[Data In]:[Data Out]])</f>
        <v>18765</v>
      </c>
      <c r="I30" s="12">
        <f>MIN(Table1[Avg. Bandwidth])</f>
        <v>8.3000000000000007</v>
      </c>
      <c r="J30">
        <f>MAX(Table1[Avg. Bandwidth])</f>
        <v>273.3</v>
      </c>
      <c r="K30"/>
      <c r="L30"/>
      <c r="M30"/>
      <c r="N30"/>
      <c r="O30"/>
      <c r="P30"/>
      <c r="Q30"/>
      <c r="R30"/>
      <c r="S30"/>
      <c r="T30"/>
    </row>
    <row r="31" spans="1:20" x14ac:dyDescent="0.3">
      <c r="A31" s="43">
        <v>41491</v>
      </c>
      <c r="B31" s="10" t="s">
        <v>50</v>
      </c>
      <c r="C31" s="11" t="s">
        <v>53</v>
      </c>
      <c r="D31" s="12">
        <v>53.5</v>
      </c>
      <c r="E31">
        <v>500</v>
      </c>
      <c r="F31">
        <v>2436</v>
      </c>
      <c r="G31">
        <v>8514</v>
      </c>
      <c r="H31">
        <f>SUM(Table1[[#This Row],[Data In]:[Data Out]])</f>
        <v>2936</v>
      </c>
      <c r="I31" s="12">
        <f>MIN(Table1[Avg. Bandwidth])</f>
        <v>8.3000000000000007</v>
      </c>
      <c r="J31">
        <f>MAX(Table1[Avg. Bandwidth])</f>
        <v>273.3</v>
      </c>
      <c r="K31"/>
      <c r="L31"/>
      <c r="M31"/>
      <c r="N31"/>
      <c r="O31"/>
      <c r="P31"/>
      <c r="Q31"/>
      <c r="R31"/>
      <c r="S31"/>
      <c r="T31"/>
    </row>
    <row r="32" spans="1:20" x14ac:dyDescent="0.3">
      <c r="A32" s="43">
        <v>41491</v>
      </c>
      <c r="B32" s="10" t="s">
        <v>54</v>
      </c>
      <c r="C32" s="11" t="s">
        <v>53</v>
      </c>
      <c r="D32" s="12">
        <v>80.400000000000006</v>
      </c>
      <c r="E32">
        <v>921</v>
      </c>
      <c r="F32">
        <v>5431</v>
      </c>
      <c r="G32">
        <v>24607</v>
      </c>
      <c r="H32">
        <f>SUM(Table1[[#This Row],[Data In]:[Data Out]])</f>
        <v>6352</v>
      </c>
      <c r="I32" s="12">
        <f>MIN(Table1[Avg. Bandwidth])</f>
        <v>8.3000000000000007</v>
      </c>
      <c r="J32">
        <f>MAX(Table1[Avg. Bandwidth])</f>
        <v>273.3</v>
      </c>
      <c r="K32"/>
      <c r="L32"/>
      <c r="M32"/>
      <c r="N32"/>
      <c r="O32"/>
      <c r="P32"/>
      <c r="Q32"/>
      <c r="R32"/>
      <c r="S32"/>
      <c r="T32"/>
    </row>
    <row r="33" spans="1:20" x14ac:dyDescent="0.3">
      <c r="A33" s="43">
        <v>41491</v>
      </c>
      <c r="B33" s="10" t="s">
        <v>55</v>
      </c>
      <c r="C33" s="11" t="s">
        <v>53</v>
      </c>
      <c r="D33" s="12">
        <v>9.1</v>
      </c>
      <c r="E33">
        <v>624</v>
      </c>
      <c r="F33">
        <v>856</v>
      </c>
      <c r="G33">
        <v>3846</v>
      </c>
      <c r="H33">
        <f>SUM(Table1[[#This Row],[Data In]:[Data Out]])</f>
        <v>1480</v>
      </c>
      <c r="I33" s="12">
        <f>MIN(Table1[Avg. Bandwidth])</f>
        <v>8.3000000000000007</v>
      </c>
      <c r="J33">
        <f>MAX(Table1[Avg. Bandwidth])</f>
        <v>273.3</v>
      </c>
      <c r="K33"/>
      <c r="L33"/>
      <c r="M33"/>
      <c r="N33"/>
      <c r="O33"/>
      <c r="P33"/>
      <c r="Q33"/>
      <c r="R33"/>
      <c r="S33"/>
      <c r="T33"/>
    </row>
    <row r="34" spans="1:20" x14ac:dyDescent="0.3">
      <c r="A34" s="43">
        <v>41491</v>
      </c>
      <c r="B34" s="10" t="s">
        <v>56</v>
      </c>
      <c r="C34" s="11" t="s">
        <v>53</v>
      </c>
      <c r="D34" s="12">
        <v>231.7</v>
      </c>
      <c r="E34">
        <v>5036</v>
      </c>
      <c r="F34">
        <v>25037</v>
      </c>
      <c r="G34">
        <v>86791</v>
      </c>
      <c r="H34">
        <f>SUM(Table1[[#This Row],[Data In]:[Data Out]])</f>
        <v>30073</v>
      </c>
      <c r="I34" s="12">
        <f>MIN(Table1[Avg. Bandwidth])</f>
        <v>8.3000000000000007</v>
      </c>
      <c r="J34">
        <f>MAX(Table1[Avg. Bandwidth])</f>
        <v>273.3</v>
      </c>
      <c r="K34"/>
      <c r="L34"/>
      <c r="M34"/>
      <c r="N34"/>
      <c r="O34"/>
      <c r="P34"/>
      <c r="Q34"/>
      <c r="R34"/>
      <c r="S34"/>
      <c r="T34"/>
    </row>
    <row r="35" spans="1:20" x14ac:dyDescent="0.3">
      <c r="A35" s="43">
        <v>41491</v>
      </c>
      <c r="B35" s="10" t="s">
        <v>57</v>
      </c>
      <c r="C35" s="11" t="s">
        <v>53</v>
      </c>
      <c r="D35" s="12">
        <v>102.2</v>
      </c>
      <c r="E35">
        <v>1795</v>
      </c>
      <c r="F35">
        <v>14677</v>
      </c>
      <c r="G35">
        <v>60935</v>
      </c>
      <c r="H35">
        <f>SUM(Table1[[#This Row],[Data In]:[Data Out]])</f>
        <v>16472</v>
      </c>
      <c r="I35" s="12">
        <f>MIN(Table1[Avg. Bandwidth])</f>
        <v>8.3000000000000007</v>
      </c>
      <c r="J35">
        <f>MAX(Table1[Avg. Bandwidth])</f>
        <v>273.3</v>
      </c>
      <c r="K35"/>
      <c r="L35"/>
      <c r="M35"/>
      <c r="N35"/>
      <c r="O35"/>
      <c r="P35"/>
      <c r="Q35"/>
      <c r="R35"/>
      <c r="S35"/>
      <c r="T35"/>
    </row>
    <row r="36" spans="1:20" x14ac:dyDescent="0.3">
      <c r="A36" s="43">
        <v>41498</v>
      </c>
      <c r="B36" s="10" t="s">
        <v>50</v>
      </c>
      <c r="C36" s="11" t="s">
        <v>53</v>
      </c>
      <c r="D36" s="12">
        <v>52</v>
      </c>
      <c r="E36">
        <v>488</v>
      </c>
      <c r="F36">
        <v>2261</v>
      </c>
      <c r="G36">
        <v>8346</v>
      </c>
      <c r="H36">
        <f>SUM(Table1[[#This Row],[Data In]:[Data Out]])</f>
        <v>2749</v>
      </c>
      <c r="I36" s="12">
        <f>MIN(Table1[Avg. Bandwidth])</f>
        <v>8.3000000000000007</v>
      </c>
      <c r="J36">
        <f>MAX(Table1[Avg. Bandwidth])</f>
        <v>273.3</v>
      </c>
      <c r="K36"/>
      <c r="L36"/>
      <c r="M36"/>
      <c r="N36"/>
      <c r="O36"/>
      <c r="P36"/>
      <c r="Q36"/>
      <c r="R36"/>
      <c r="S36"/>
      <c r="T36"/>
    </row>
    <row r="37" spans="1:20" x14ac:dyDescent="0.3">
      <c r="A37" s="43">
        <v>41498</v>
      </c>
      <c r="B37" s="10" t="s">
        <v>54</v>
      </c>
      <c r="C37" s="11" t="s">
        <v>53</v>
      </c>
      <c r="D37" s="12">
        <v>76.099999999999994</v>
      </c>
      <c r="E37">
        <v>901</v>
      </c>
      <c r="F37">
        <v>5239</v>
      </c>
      <c r="G37">
        <v>26041</v>
      </c>
      <c r="H37">
        <f>SUM(Table1[[#This Row],[Data In]:[Data Out]])</f>
        <v>6140</v>
      </c>
      <c r="I37" s="12">
        <f>MIN(Table1[Avg. Bandwidth])</f>
        <v>8.3000000000000007</v>
      </c>
      <c r="J37">
        <f>MAX(Table1[Avg. Bandwidth])</f>
        <v>273.3</v>
      </c>
      <c r="K37"/>
      <c r="L37"/>
      <c r="M37"/>
      <c r="N37"/>
      <c r="O37"/>
      <c r="P37"/>
      <c r="Q37"/>
      <c r="R37"/>
      <c r="S37"/>
      <c r="T37"/>
    </row>
    <row r="38" spans="1:20" x14ac:dyDescent="0.3">
      <c r="A38" s="43">
        <v>41498</v>
      </c>
      <c r="B38" s="10" t="s">
        <v>55</v>
      </c>
      <c r="C38" s="11" t="s">
        <v>53</v>
      </c>
      <c r="D38" s="12">
        <v>8.9</v>
      </c>
      <c r="E38">
        <v>609</v>
      </c>
      <c r="F38">
        <v>821</v>
      </c>
      <c r="G38">
        <v>3660</v>
      </c>
      <c r="H38">
        <f>SUM(Table1[[#This Row],[Data In]:[Data Out]])</f>
        <v>1430</v>
      </c>
      <c r="I38" s="12">
        <f>MIN(Table1[Avg. Bandwidth])</f>
        <v>8.3000000000000007</v>
      </c>
      <c r="J38">
        <f>MAX(Table1[Avg. Bandwidth])</f>
        <v>273.3</v>
      </c>
      <c r="K38"/>
      <c r="L38"/>
      <c r="M38"/>
      <c r="N38"/>
      <c r="O38"/>
      <c r="P38"/>
      <c r="Q38"/>
      <c r="R38"/>
      <c r="S38"/>
      <c r="T38"/>
    </row>
    <row r="39" spans="1:20" x14ac:dyDescent="0.3">
      <c r="A39" s="43">
        <v>41498</v>
      </c>
      <c r="B39" s="10" t="s">
        <v>56</v>
      </c>
      <c r="C39" s="11" t="s">
        <v>53</v>
      </c>
      <c r="D39" s="12">
        <v>258.7</v>
      </c>
      <c r="E39">
        <v>6033</v>
      </c>
      <c r="F39">
        <v>27651</v>
      </c>
      <c r="G39">
        <v>90434</v>
      </c>
      <c r="H39">
        <f>SUM(Table1[[#This Row],[Data In]:[Data Out]])</f>
        <v>33684</v>
      </c>
      <c r="I39" s="12">
        <f>MIN(Table1[Avg. Bandwidth])</f>
        <v>8.3000000000000007</v>
      </c>
      <c r="J39">
        <f>MAX(Table1[Avg. Bandwidth])</f>
        <v>273.3</v>
      </c>
      <c r="K39"/>
      <c r="L39"/>
      <c r="M39" t="s">
        <v>58</v>
      </c>
      <c r="N39"/>
      <c r="O39"/>
      <c r="P39" s="14"/>
      <c r="Q39" s="14"/>
      <c r="R39" s="14"/>
      <c r="S39"/>
      <c r="T39"/>
    </row>
    <row r="40" spans="1:20" x14ac:dyDescent="0.3">
      <c r="A40" s="43">
        <v>41498</v>
      </c>
      <c r="B40" s="10" t="s">
        <v>57</v>
      </c>
      <c r="C40" s="11" t="s">
        <v>53</v>
      </c>
      <c r="D40" s="12">
        <v>103.1</v>
      </c>
      <c r="E40">
        <v>1830</v>
      </c>
      <c r="F40">
        <v>14230</v>
      </c>
      <c r="G40">
        <v>60845</v>
      </c>
      <c r="H40">
        <f>SUM(Table1[[#This Row],[Data In]:[Data Out]])</f>
        <v>16060</v>
      </c>
      <c r="I40" s="12">
        <f>MIN(Table1[Avg. Bandwidth])</f>
        <v>8.3000000000000007</v>
      </c>
      <c r="J40">
        <f>MAX(Table1[Avg. Bandwidth])</f>
        <v>273.3</v>
      </c>
      <c r="K40"/>
      <c r="L40" s="15">
        <v>42319</v>
      </c>
      <c r="M40" s="15">
        <v>42320</v>
      </c>
      <c r="N40" s="15">
        <v>42321</v>
      </c>
      <c r="O40" s="15">
        <v>42322</v>
      </c>
      <c r="P40" s="15">
        <v>42323</v>
      </c>
      <c r="Q40" s="14"/>
      <c r="R40" s="14"/>
      <c r="S40"/>
      <c r="T40"/>
    </row>
    <row r="41" spans="1:20" x14ac:dyDescent="0.3">
      <c r="A41" s="43">
        <v>41505</v>
      </c>
      <c r="B41" s="10" t="s">
        <v>50</v>
      </c>
      <c r="C41" s="11" t="s">
        <v>53</v>
      </c>
      <c r="D41" s="12">
        <v>49.6</v>
      </c>
      <c r="E41">
        <v>462</v>
      </c>
      <c r="F41">
        <v>2063</v>
      </c>
      <c r="G41">
        <v>8105</v>
      </c>
      <c r="H41">
        <f>SUM(Table1[[#This Row],[Data In]:[Data Out]])</f>
        <v>2525</v>
      </c>
      <c r="I41" s="12">
        <f>MIN(Table1[Avg. Bandwidth])</f>
        <v>8.3000000000000007</v>
      </c>
      <c r="J41">
        <f>MAX(Table1[Avg. Bandwidth])</f>
        <v>273.3</v>
      </c>
      <c r="K41"/>
      <c r="L41" t="s">
        <v>54</v>
      </c>
      <c r="M41" t="s">
        <v>56</v>
      </c>
      <c r="N41" t="s">
        <v>50</v>
      </c>
      <c r="O41" t="s">
        <v>59</v>
      </c>
      <c r="P41" t="s">
        <v>60</v>
      </c>
      <c r="Q41" s="14"/>
      <c r="R41" s="14"/>
      <c r="S41"/>
      <c r="T41"/>
    </row>
    <row r="42" spans="1:20" x14ac:dyDescent="0.3">
      <c r="A42" s="43">
        <v>41505</v>
      </c>
      <c r="B42" s="10" t="s">
        <v>54</v>
      </c>
      <c r="C42" s="11" t="s">
        <v>53</v>
      </c>
      <c r="D42" s="12">
        <v>76</v>
      </c>
      <c r="E42">
        <v>887</v>
      </c>
      <c r="F42">
        <v>5167</v>
      </c>
      <c r="G42">
        <v>26103</v>
      </c>
      <c r="H42">
        <f>SUM(Table1[[#This Row],[Data In]:[Data Out]])</f>
        <v>6054</v>
      </c>
      <c r="I42" s="12">
        <f>MIN(Table1[Avg. Bandwidth])</f>
        <v>8.3000000000000007</v>
      </c>
      <c r="J42">
        <f>MAX(Table1[Avg. Bandwidth])</f>
        <v>273.3</v>
      </c>
      <c r="K42"/>
      <c r="L42" t="s">
        <v>51</v>
      </c>
      <c r="M42" t="s">
        <v>52</v>
      </c>
      <c r="N42" t="s">
        <v>53</v>
      </c>
      <c r="O42" t="s">
        <v>51</v>
      </c>
      <c r="P42" t="s">
        <v>51</v>
      </c>
      <c r="Q42" s="14"/>
      <c r="R42" s="14"/>
      <c r="S42"/>
      <c r="T42"/>
    </row>
    <row r="43" spans="1:20" x14ac:dyDescent="0.3">
      <c r="A43" s="43">
        <v>41505</v>
      </c>
      <c r="B43" s="10" t="s">
        <v>55</v>
      </c>
      <c r="C43" s="11" t="s">
        <v>53</v>
      </c>
      <c r="D43" s="12">
        <v>8.3000000000000007</v>
      </c>
      <c r="E43">
        <v>586</v>
      </c>
      <c r="F43">
        <v>803</v>
      </c>
      <c r="G43">
        <v>3488</v>
      </c>
      <c r="H43">
        <f>SUM(Table1[[#This Row],[Data In]:[Data Out]])</f>
        <v>1389</v>
      </c>
      <c r="I43" s="12">
        <f>MIN(Table1[Avg. Bandwidth])</f>
        <v>8.3000000000000007</v>
      </c>
      <c r="J43">
        <f>MAX(Table1[Avg. Bandwidth])</f>
        <v>273.3</v>
      </c>
      <c r="K43"/>
      <c r="L43">
        <v>67.8</v>
      </c>
      <c r="M43">
        <v>88.9</v>
      </c>
      <c r="N43">
        <v>98.36</v>
      </c>
      <c r="O43">
        <v>78.25</v>
      </c>
      <c r="P43">
        <v>78.77</v>
      </c>
      <c r="Q43" s="14"/>
      <c r="R43" s="14"/>
      <c r="S43"/>
      <c r="T43"/>
    </row>
    <row r="44" spans="1:20" x14ac:dyDescent="0.3">
      <c r="A44" s="43">
        <v>41505</v>
      </c>
      <c r="B44" s="10" t="s">
        <v>56</v>
      </c>
      <c r="C44" s="11" t="s">
        <v>53</v>
      </c>
      <c r="D44" s="12">
        <v>271.89999999999998</v>
      </c>
      <c r="E44">
        <v>6352</v>
      </c>
      <c r="F44">
        <v>29654</v>
      </c>
      <c r="G44">
        <v>101356</v>
      </c>
      <c r="H44">
        <f>SUM(Table1[[#This Row],[Data In]:[Data Out]])</f>
        <v>36006</v>
      </c>
      <c r="I44" s="12">
        <f>MIN(Table1[Avg. Bandwidth])</f>
        <v>8.3000000000000007</v>
      </c>
      <c r="J44">
        <f>MAX(Table1[Avg. Bandwidth])</f>
        <v>273.3</v>
      </c>
      <c r="K44"/>
      <c r="L44">
        <v>415</v>
      </c>
      <c r="M44">
        <v>555</v>
      </c>
      <c r="N44">
        <v>412</v>
      </c>
      <c r="O44">
        <v>541</v>
      </c>
      <c r="P44">
        <v>987</v>
      </c>
      <c r="Q44" s="14"/>
      <c r="R44" s="14"/>
      <c r="S44"/>
      <c r="T44"/>
    </row>
    <row r="45" spans="1:20" x14ac:dyDescent="0.3">
      <c r="A45" s="43">
        <v>41505</v>
      </c>
      <c r="B45" s="10" t="s">
        <v>57</v>
      </c>
      <c r="C45" s="11" t="s">
        <v>53</v>
      </c>
      <c r="D45" s="12">
        <v>102.4</v>
      </c>
      <c r="E45">
        <v>1762</v>
      </c>
      <c r="F45">
        <v>14036</v>
      </c>
      <c r="G45">
        <v>60533</v>
      </c>
      <c r="H45">
        <f>SUM(Table1[[#This Row],[Data In]:[Data Out]])</f>
        <v>15798</v>
      </c>
      <c r="I45" s="12">
        <f>MIN(Table1[Avg. Bandwidth])</f>
        <v>8.3000000000000007</v>
      </c>
      <c r="J45">
        <f>MAX(Table1[Avg. Bandwidth])</f>
        <v>273.3</v>
      </c>
      <c r="K45"/>
      <c r="L45" s="14">
        <v>3104</v>
      </c>
      <c r="M45">
        <v>4125</v>
      </c>
      <c r="N45">
        <v>3421</v>
      </c>
      <c r="O45">
        <v>5896</v>
      </c>
      <c r="P45">
        <v>4752</v>
      </c>
      <c r="Q45" s="14"/>
      <c r="R45" s="14"/>
      <c r="S45"/>
      <c r="T45"/>
    </row>
    <row r="46" spans="1:20" x14ac:dyDescent="0.3">
      <c r="A46" s="43">
        <v>41512</v>
      </c>
      <c r="B46" s="10" t="s">
        <v>50</v>
      </c>
      <c r="C46" s="11" t="s">
        <v>53</v>
      </c>
      <c r="D46" s="12">
        <v>52.4</v>
      </c>
      <c r="E46">
        <v>484</v>
      </c>
      <c r="F46">
        <v>2203</v>
      </c>
      <c r="G46">
        <v>8657</v>
      </c>
      <c r="H46">
        <f>SUM(Table1[[#This Row],[Data In]:[Data Out]])</f>
        <v>2687</v>
      </c>
      <c r="I46" s="12">
        <f>MIN(Table1[Avg. Bandwidth])</f>
        <v>8.3000000000000007</v>
      </c>
      <c r="J46">
        <f>MAX(Table1[Avg. Bandwidth])</f>
        <v>273.3</v>
      </c>
      <c r="K46"/>
      <c r="L46" s="14">
        <v>23456</v>
      </c>
      <c r="M46">
        <v>21453</v>
      </c>
      <c r="N46">
        <v>19682</v>
      </c>
      <c r="O46">
        <v>15248</v>
      </c>
      <c r="P46">
        <v>175896</v>
      </c>
      <c r="Q46" s="14"/>
      <c r="R46" s="14"/>
      <c r="S46"/>
      <c r="T46"/>
    </row>
    <row r="47" spans="1:20" x14ac:dyDescent="0.3">
      <c r="A47" s="43">
        <v>41512</v>
      </c>
      <c r="B47" s="10" t="s">
        <v>54</v>
      </c>
      <c r="C47" s="11" t="s">
        <v>53</v>
      </c>
      <c r="D47" s="12">
        <v>76.5</v>
      </c>
      <c r="E47">
        <v>912</v>
      </c>
      <c r="F47">
        <v>5368</v>
      </c>
      <c r="G47">
        <v>28601</v>
      </c>
      <c r="H47">
        <f>SUM(Table1[[#This Row],[Data In]:[Data Out]])</f>
        <v>6280</v>
      </c>
      <c r="I47" s="12">
        <f>MIN(Table1[Avg. Bandwidth])</f>
        <v>8.3000000000000007</v>
      </c>
      <c r="J47">
        <f>MAX(Table1[Avg. Bandwidth])</f>
        <v>273.3</v>
      </c>
      <c r="K47"/>
      <c r="L47"/>
      <c r="M47"/>
      <c r="N47"/>
      <c r="O47"/>
      <c r="P47"/>
      <c r="Q47"/>
      <c r="R47"/>
      <c r="S47"/>
      <c r="T47"/>
    </row>
    <row r="48" spans="1:20" x14ac:dyDescent="0.3">
      <c r="A48" s="43">
        <v>41512</v>
      </c>
      <c r="B48" s="10" t="s">
        <v>55</v>
      </c>
      <c r="C48" s="11" t="s">
        <v>53</v>
      </c>
      <c r="D48" s="12">
        <v>9</v>
      </c>
      <c r="E48">
        <v>635</v>
      </c>
      <c r="F48">
        <v>851</v>
      </c>
      <c r="G48">
        <v>4036</v>
      </c>
      <c r="H48">
        <f>SUM(Table1[[#This Row],[Data In]:[Data Out]])</f>
        <v>1486</v>
      </c>
      <c r="I48" s="12">
        <f>MIN(Table1[Avg. Bandwidth])</f>
        <v>8.3000000000000007</v>
      </c>
      <c r="J48">
        <f>MAX(Table1[Avg. Bandwidth])</f>
        <v>273.3</v>
      </c>
      <c r="K48"/>
      <c r="L48"/>
      <c r="M48"/>
      <c r="N48"/>
      <c r="O48"/>
      <c r="P48"/>
      <c r="Q48"/>
      <c r="R48"/>
      <c r="S48"/>
      <c r="T48"/>
    </row>
    <row r="49" spans="1:20" x14ac:dyDescent="0.3">
      <c r="A49" s="43">
        <v>41512</v>
      </c>
      <c r="B49" s="10" t="s">
        <v>56</v>
      </c>
      <c r="C49" s="11" t="s">
        <v>53</v>
      </c>
      <c r="D49" s="12">
        <v>273.3</v>
      </c>
      <c r="E49">
        <v>6550</v>
      </c>
      <c r="F49">
        <v>30246</v>
      </c>
      <c r="G49">
        <v>102771</v>
      </c>
      <c r="H49">
        <f>SUM(Table1[[#This Row],[Data In]:[Data Out]])</f>
        <v>36796</v>
      </c>
      <c r="I49" s="12">
        <f>MIN(Table1[Avg. Bandwidth])</f>
        <v>8.3000000000000007</v>
      </c>
      <c r="J49">
        <f>MAX(Table1[Avg. Bandwidth])</f>
        <v>273.3</v>
      </c>
      <c r="K49"/>
      <c r="L49"/>
      <c r="M49"/>
      <c r="N49"/>
      <c r="O49"/>
      <c r="P49"/>
      <c r="Q49"/>
      <c r="R49"/>
      <c r="S49"/>
      <c r="T49"/>
    </row>
    <row r="50" spans="1:20" x14ac:dyDescent="0.3">
      <c r="A50" s="43">
        <v>41512</v>
      </c>
      <c r="B50" s="10" t="s">
        <v>57</v>
      </c>
      <c r="C50" s="11" t="s">
        <v>53</v>
      </c>
      <c r="D50" s="12">
        <v>104.3</v>
      </c>
      <c r="E50">
        <v>1900</v>
      </c>
      <c r="F50">
        <v>15367</v>
      </c>
      <c r="G50">
        <v>62654</v>
      </c>
      <c r="H50">
        <f>SUM(Table1[[#This Row],[Data In]:[Data Out]])</f>
        <v>17267</v>
      </c>
      <c r="I50" s="12">
        <f>MIN(Table1[Avg. Bandwidth])</f>
        <v>8.3000000000000007</v>
      </c>
      <c r="J50">
        <f>MAX(Table1[Avg. Bandwidth])</f>
        <v>273.3</v>
      </c>
      <c r="K50"/>
      <c r="L50"/>
      <c r="M50"/>
      <c r="N50"/>
      <c r="O50"/>
      <c r="P50"/>
      <c r="Q50"/>
      <c r="R50"/>
      <c r="S50"/>
      <c r="T50"/>
    </row>
    <row r="51" spans="1:20" x14ac:dyDescent="0.3">
      <c r="A51" s="43">
        <v>41456</v>
      </c>
      <c r="B51" s="10" t="s">
        <v>50</v>
      </c>
      <c r="C51" s="11" t="s">
        <v>51</v>
      </c>
      <c r="D51" s="12">
        <v>56.5</v>
      </c>
      <c r="E51">
        <v>518</v>
      </c>
      <c r="F51">
        <v>3106</v>
      </c>
      <c r="G51">
        <v>10312</v>
      </c>
      <c r="H51">
        <f>SUM(Table1[[#This Row],[Data In]:[Data Out]])</f>
        <v>3624</v>
      </c>
      <c r="I51" s="12">
        <f>MIN(Table1[Avg. Bandwidth])</f>
        <v>8.3000000000000007</v>
      </c>
      <c r="J51">
        <f>MAX(Table1[Avg. Bandwidth])</f>
        <v>273.3</v>
      </c>
      <c r="K51"/>
      <c r="L51"/>
      <c r="M51"/>
      <c r="N51"/>
      <c r="O51"/>
      <c r="P51"/>
      <c r="Q51"/>
      <c r="R51"/>
      <c r="S51"/>
      <c r="T51"/>
    </row>
    <row r="52" spans="1:20" x14ac:dyDescent="0.3">
      <c r="A52" s="43">
        <v>41456</v>
      </c>
      <c r="B52" s="10" t="s">
        <v>54</v>
      </c>
      <c r="C52" s="11" t="s">
        <v>51</v>
      </c>
      <c r="D52" s="12">
        <v>110.4</v>
      </c>
      <c r="E52">
        <v>1304</v>
      </c>
      <c r="F52">
        <v>6103</v>
      </c>
      <c r="G52">
        <v>35406</v>
      </c>
      <c r="H52">
        <f>SUM(Table1[[#This Row],[Data In]:[Data Out]])</f>
        <v>7407</v>
      </c>
      <c r="I52" s="12">
        <f>MIN(Table1[Avg. Bandwidth])</f>
        <v>8.3000000000000007</v>
      </c>
      <c r="J52">
        <f>MAX(Table1[Avg. Bandwidth])</f>
        <v>273.3</v>
      </c>
      <c r="K52"/>
      <c r="L52"/>
      <c r="M52"/>
      <c r="N52"/>
      <c r="O52"/>
      <c r="P52"/>
      <c r="Q52"/>
      <c r="R52"/>
      <c r="S52"/>
      <c r="T52"/>
    </row>
    <row r="53" spans="1:20" x14ac:dyDescent="0.3">
      <c r="A53" s="43">
        <v>41456</v>
      </c>
      <c r="B53" s="10" t="s">
        <v>55</v>
      </c>
      <c r="C53" s="11" t="s">
        <v>51</v>
      </c>
      <c r="D53" s="12">
        <v>38.6</v>
      </c>
      <c r="E53">
        <v>1551</v>
      </c>
      <c r="F53">
        <v>2064</v>
      </c>
      <c r="G53">
        <v>9102</v>
      </c>
      <c r="H53">
        <f>SUM(Table1[[#This Row],[Data In]:[Data Out]])</f>
        <v>3615</v>
      </c>
      <c r="I53" s="12">
        <f>MIN(Table1[Avg. Bandwidth])</f>
        <v>8.3000000000000007</v>
      </c>
      <c r="J53">
        <f>MAX(Table1[Avg. Bandwidth])</f>
        <v>273.3</v>
      </c>
      <c r="K53"/>
      <c r="L53"/>
      <c r="M53"/>
      <c r="N53"/>
      <c r="O53"/>
      <c r="P53"/>
      <c r="Q53"/>
      <c r="R53"/>
      <c r="S53"/>
      <c r="T53"/>
    </row>
    <row r="54" spans="1:20" x14ac:dyDescent="0.3">
      <c r="A54" s="43">
        <v>41456</v>
      </c>
      <c r="B54" s="10" t="s">
        <v>56</v>
      </c>
      <c r="C54" s="11" t="s">
        <v>51</v>
      </c>
      <c r="D54" s="12">
        <v>114.5</v>
      </c>
      <c r="E54">
        <v>2601</v>
      </c>
      <c r="F54">
        <v>12359</v>
      </c>
      <c r="G54">
        <v>64135</v>
      </c>
      <c r="H54">
        <f>SUM(Table1[[#This Row],[Data In]:[Data Out]])</f>
        <v>14960</v>
      </c>
      <c r="I54" s="12">
        <f>MIN(Table1[Avg. Bandwidth])</f>
        <v>8.3000000000000007</v>
      </c>
      <c r="J54">
        <f>MAX(Table1[Avg. Bandwidth])</f>
        <v>273.3</v>
      </c>
      <c r="K54"/>
      <c r="L54"/>
      <c r="M54"/>
      <c r="N54"/>
      <c r="O54"/>
      <c r="P54"/>
      <c r="Q54"/>
      <c r="R54"/>
      <c r="S54"/>
      <c r="T54"/>
    </row>
    <row r="55" spans="1:20" x14ac:dyDescent="0.3">
      <c r="A55" s="43">
        <v>41456</v>
      </c>
      <c r="B55" s="10" t="s">
        <v>57</v>
      </c>
      <c r="C55" s="11" t="s">
        <v>51</v>
      </c>
      <c r="D55" s="12">
        <v>213.9</v>
      </c>
      <c r="E55">
        <v>3164</v>
      </c>
      <c r="F55">
        <v>26492</v>
      </c>
      <c r="G55">
        <v>103454</v>
      </c>
      <c r="H55">
        <f>SUM(Table1[[#This Row],[Data In]:[Data Out]])</f>
        <v>29656</v>
      </c>
      <c r="I55" s="12">
        <f>MIN(Table1[Avg. Bandwidth])</f>
        <v>8.3000000000000007</v>
      </c>
      <c r="J55">
        <f>MAX(Table1[Avg. Bandwidth])</f>
        <v>273.3</v>
      </c>
      <c r="K55"/>
      <c r="L55"/>
      <c r="M55"/>
      <c r="N55"/>
      <c r="O55"/>
      <c r="P55"/>
      <c r="Q55"/>
      <c r="R55"/>
      <c r="S55"/>
      <c r="T55"/>
    </row>
    <row r="56" spans="1:20" x14ac:dyDescent="0.3">
      <c r="A56" s="43">
        <v>41463</v>
      </c>
      <c r="B56" s="10" t="s">
        <v>50</v>
      </c>
      <c r="C56" s="11" t="s">
        <v>51</v>
      </c>
      <c r="D56" s="12">
        <v>53.4</v>
      </c>
      <c r="E56">
        <v>494</v>
      </c>
      <c r="F56">
        <v>3066</v>
      </c>
      <c r="G56">
        <v>9981</v>
      </c>
      <c r="H56">
        <f>SUM(Table1[[#This Row],[Data In]:[Data Out]])</f>
        <v>3560</v>
      </c>
      <c r="I56" s="12">
        <f>MIN(Table1[Avg. Bandwidth])</f>
        <v>8.3000000000000007</v>
      </c>
      <c r="J56">
        <f>MAX(Table1[Avg. Bandwidth])</f>
        <v>273.3</v>
      </c>
      <c r="K56"/>
      <c r="L56"/>
      <c r="M56"/>
      <c r="N56"/>
      <c r="O56"/>
      <c r="P56"/>
      <c r="Q56"/>
      <c r="R56"/>
      <c r="S56"/>
      <c r="T56"/>
    </row>
    <row r="57" spans="1:20" x14ac:dyDescent="0.3">
      <c r="A57" s="43">
        <v>41463</v>
      </c>
      <c r="B57" s="10" t="s">
        <v>54</v>
      </c>
      <c r="C57" s="11" t="s">
        <v>51</v>
      </c>
      <c r="D57" s="12">
        <v>108.5</v>
      </c>
      <c r="E57">
        <v>1206</v>
      </c>
      <c r="F57">
        <v>6055</v>
      </c>
      <c r="G57">
        <v>32854</v>
      </c>
      <c r="H57">
        <f>SUM(Table1[[#This Row],[Data In]:[Data Out]])</f>
        <v>7261</v>
      </c>
      <c r="I57" s="12">
        <f>MIN(Table1[Avg. Bandwidth])</f>
        <v>8.3000000000000007</v>
      </c>
      <c r="J57">
        <f>MAX(Table1[Avg. Bandwidth])</f>
        <v>273.3</v>
      </c>
      <c r="K57"/>
      <c r="L57"/>
      <c r="M57"/>
      <c r="N57"/>
      <c r="O57"/>
      <c r="P57"/>
      <c r="Q57"/>
      <c r="R57"/>
      <c r="S57"/>
      <c r="T57"/>
    </row>
    <row r="58" spans="1:20" x14ac:dyDescent="0.3">
      <c r="A58" s="43">
        <v>41463</v>
      </c>
      <c r="B58" s="10" t="s">
        <v>55</v>
      </c>
      <c r="C58" s="11" t="s">
        <v>51</v>
      </c>
      <c r="D58" s="12">
        <v>36.1</v>
      </c>
      <c r="E58">
        <v>1642</v>
      </c>
      <c r="F58">
        <v>1794</v>
      </c>
      <c r="G58">
        <v>9012</v>
      </c>
      <c r="H58">
        <f>SUM(Table1[[#This Row],[Data In]:[Data Out]])</f>
        <v>3436</v>
      </c>
      <c r="I58" s="12">
        <f>MIN(Table1[Avg. Bandwidth])</f>
        <v>8.3000000000000007</v>
      </c>
      <c r="J58">
        <f>MAX(Table1[Avg. Bandwidth])</f>
        <v>273.3</v>
      </c>
      <c r="K58"/>
      <c r="L58"/>
      <c r="M58"/>
      <c r="N58"/>
      <c r="O58"/>
      <c r="P58"/>
      <c r="Q58"/>
      <c r="R58"/>
      <c r="S58"/>
      <c r="T58"/>
    </row>
    <row r="59" spans="1:20" x14ac:dyDescent="0.3">
      <c r="A59" s="43">
        <v>41463</v>
      </c>
      <c r="B59" s="10" t="s">
        <v>56</v>
      </c>
      <c r="C59" s="11" t="s">
        <v>51</v>
      </c>
      <c r="D59" s="12">
        <v>106.4</v>
      </c>
      <c r="E59">
        <v>2564</v>
      </c>
      <c r="F59">
        <v>11643</v>
      </c>
      <c r="G59">
        <v>62164</v>
      </c>
      <c r="H59">
        <f>SUM(Table1[[#This Row],[Data In]:[Data Out]])</f>
        <v>14207</v>
      </c>
      <c r="I59" s="12">
        <f>MIN(Table1[Avg. Bandwidth])</f>
        <v>8.3000000000000007</v>
      </c>
      <c r="J59">
        <f>MAX(Table1[Avg. Bandwidth])</f>
        <v>273.3</v>
      </c>
      <c r="K59"/>
      <c r="L59"/>
      <c r="M59"/>
      <c r="N59"/>
      <c r="O59"/>
      <c r="P59"/>
      <c r="Q59"/>
      <c r="R59"/>
      <c r="S59"/>
      <c r="T59"/>
    </row>
    <row r="60" spans="1:20" x14ac:dyDescent="0.3">
      <c r="A60" s="43">
        <v>41463</v>
      </c>
      <c r="B60" s="10" t="s">
        <v>57</v>
      </c>
      <c r="C60" s="11" t="s">
        <v>51</v>
      </c>
      <c r="D60" s="12">
        <v>212.3</v>
      </c>
      <c r="E60">
        <v>3121</v>
      </c>
      <c r="F60">
        <v>25945</v>
      </c>
      <c r="G60">
        <v>101354</v>
      </c>
      <c r="H60">
        <f>SUM(Table1[[#This Row],[Data In]:[Data Out]])</f>
        <v>29066</v>
      </c>
      <c r="I60" s="12">
        <f>MIN(Table1[Avg. Bandwidth])</f>
        <v>8.3000000000000007</v>
      </c>
      <c r="J60">
        <f>MAX(Table1[Avg. Bandwidth])</f>
        <v>273.3</v>
      </c>
      <c r="K60"/>
      <c r="L60"/>
      <c r="M60"/>
      <c r="N60"/>
      <c r="O60"/>
      <c r="P60"/>
      <c r="Q60"/>
      <c r="R60"/>
      <c r="S60"/>
      <c r="T60"/>
    </row>
    <row r="61" spans="1:20" x14ac:dyDescent="0.3">
      <c r="A61" s="43">
        <v>41470</v>
      </c>
      <c r="B61" s="10" t="s">
        <v>50</v>
      </c>
      <c r="C61" s="11" t="s">
        <v>51</v>
      </c>
      <c r="D61" s="12">
        <v>54.1</v>
      </c>
      <c r="E61">
        <v>521</v>
      </c>
      <c r="F61">
        <v>3205</v>
      </c>
      <c r="G61">
        <v>10645</v>
      </c>
      <c r="H61">
        <f>SUM(Table1[[#This Row],[Data In]:[Data Out]])</f>
        <v>3726</v>
      </c>
      <c r="I61" s="12">
        <f>MIN(Table1[Avg. Bandwidth])</f>
        <v>8.3000000000000007</v>
      </c>
      <c r="J61">
        <f>MAX(Table1[Avg. Bandwidth])</f>
        <v>273.3</v>
      </c>
      <c r="K61"/>
      <c r="L61"/>
      <c r="M61"/>
      <c r="N61"/>
      <c r="O61"/>
      <c r="P61"/>
      <c r="Q61"/>
      <c r="R61"/>
      <c r="S61"/>
      <c r="T61"/>
    </row>
    <row r="62" spans="1:20" x14ac:dyDescent="0.3">
      <c r="A62" s="43">
        <v>41470</v>
      </c>
      <c r="B62" s="10" t="s">
        <v>54</v>
      </c>
      <c r="C62" s="11" t="s">
        <v>51</v>
      </c>
      <c r="D62" s="12">
        <v>110.2</v>
      </c>
      <c r="E62">
        <v>1351</v>
      </c>
      <c r="F62">
        <v>6201</v>
      </c>
      <c r="G62">
        <v>33654</v>
      </c>
      <c r="H62">
        <f>SUM(Table1[[#This Row],[Data In]:[Data Out]])</f>
        <v>7552</v>
      </c>
      <c r="I62" s="12">
        <f>MIN(Table1[Avg. Bandwidth])</f>
        <v>8.3000000000000007</v>
      </c>
      <c r="J62">
        <f>MAX(Table1[Avg. Bandwidth])</f>
        <v>273.3</v>
      </c>
      <c r="K62"/>
      <c r="L62"/>
      <c r="M62"/>
      <c r="N62"/>
      <c r="O62"/>
      <c r="P62"/>
      <c r="Q62"/>
      <c r="R62"/>
      <c r="S62"/>
      <c r="T62"/>
    </row>
    <row r="63" spans="1:20" x14ac:dyDescent="0.3">
      <c r="A63" s="43">
        <v>41470</v>
      </c>
      <c r="B63" s="10" t="s">
        <v>55</v>
      </c>
      <c r="C63" s="11" t="s">
        <v>51</v>
      </c>
      <c r="D63" s="12">
        <v>39.4</v>
      </c>
      <c r="E63">
        <v>1846</v>
      </c>
      <c r="F63">
        <v>1945</v>
      </c>
      <c r="G63">
        <v>11354</v>
      </c>
      <c r="H63">
        <f>SUM(Table1[[#This Row],[Data In]:[Data Out]])</f>
        <v>3791</v>
      </c>
      <c r="I63" s="12">
        <f>MIN(Table1[Avg. Bandwidth])</f>
        <v>8.3000000000000007</v>
      </c>
      <c r="J63">
        <f>MAX(Table1[Avg. Bandwidth])</f>
        <v>273.3</v>
      </c>
      <c r="K63"/>
      <c r="L63"/>
      <c r="M63"/>
      <c r="N63"/>
      <c r="O63"/>
      <c r="P63"/>
      <c r="Q63"/>
      <c r="R63"/>
      <c r="S63"/>
      <c r="T63"/>
    </row>
    <row r="64" spans="1:20" x14ac:dyDescent="0.3">
      <c r="A64" s="43">
        <v>41470</v>
      </c>
      <c r="B64" s="10" t="s">
        <v>56</v>
      </c>
      <c r="C64" s="11" t="s">
        <v>51</v>
      </c>
      <c r="D64" s="12">
        <v>108.5</v>
      </c>
      <c r="E64">
        <v>2612</v>
      </c>
      <c r="F64">
        <v>12646</v>
      </c>
      <c r="G64">
        <v>63468</v>
      </c>
      <c r="H64">
        <f>SUM(Table1[[#This Row],[Data In]:[Data Out]])</f>
        <v>15258</v>
      </c>
      <c r="I64" s="12">
        <f>MIN(Table1[Avg. Bandwidth])</f>
        <v>8.3000000000000007</v>
      </c>
      <c r="J64">
        <f>MAX(Table1[Avg. Bandwidth])</f>
        <v>273.3</v>
      </c>
      <c r="K64"/>
      <c r="L64"/>
      <c r="M64"/>
      <c r="N64"/>
      <c r="O64"/>
      <c r="P64"/>
      <c r="Q64"/>
      <c r="R64"/>
      <c r="S64"/>
      <c r="T64"/>
    </row>
    <row r="65" spans="1:20" x14ac:dyDescent="0.3">
      <c r="A65" s="43">
        <v>41470</v>
      </c>
      <c r="B65" s="10" t="s">
        <v>57</v>
      </c>
      <c r="C65" s="11" t="s">
        <v>51</v>
      </c>
      <c r="D65" s="12">
        <v>210.6</v>
      </c>
      <c r="E65">
        <v>3014</v>
      </c>
      <c r="F65">
        <v>23741</v>
      </c>
      <c r="G65">
        <v>98941</v>
      </c>
      <c r="H65">
        <f>SUM(Table1[[#This Row],[Data In]:[Data Out]])</f>
        <v>26755</v>
      </c>
      <c r="I65" s="12">
        <f>MIN(Table1[Avg. Bandwidth])</f>
        <v>8.3000000000000007</v>
      </c>
      <c r="J65">
        <f>MAX(Table1[Avg. Bandwidth])</f>
        <v>273.3</v>
      </c>
      <c r="K65"/>
      <c r="L65"/>
      <c r="M65"/>
      <c r="N65"/>
      <c r="O65"/>
      <c r="P65"/>
      <c r="Q65"/>
      <c r="R65"/>
      <c r="S65"/>
      <c r="T65"/>
    </row>
    <row r="66" spans="1:20" x14ac:dyDescent="0.3">
      <c r="A66" s="43">
        <v>41477</v>
      </c>
      <c r="B66" s="10" t="s">
        <v>50</v>
      </c>
      <c r="C66" s="11" t="s">
        <v>51</v>
      </c>
      <c r="D66" s="12">
        <v>56.1</v>
      </c>
      <c r="E66">
        <v>586</v>
      </c>
      <c r="F66">
        <v>3465</v>
      </c>
      <c r="G66">
        <v>12350</v>
      </c>
      <c r="H66">
        <f>SUM(Table1[[#This Row],[Data In]:[Data Out]])</f>
        <v>4051</v>
      </c>
      <c r="I66" s="12">
        <f>MIN(Table1[Avg. Bandwidth])</f>
        <v>8.3000000000000007</v>
      </c>
      <c r="J66">
        <f>MAX(Table1[Avg. Bandwidth])</f>
        <v>273.3</v>
      </c>
      <c r="K66"/>
      <c r="L66"/>
      <c r="M66"/>
      <c r="N66"/>
      <c r="O66"/>
      <c r="P66"/>
      <c r="Q66"/>
      <c r="R66"/>
      <c r="S66"/>
      <c r="T66"/>
    </row>
    <row r="67" spans="1:20" x14ac:dyDescent="0.3">
      <c r="A67" s="43">
        <v>41477</v>
      </c>
      <c r="B67" s="10" t="s">
        <v>54</v>
      </c>
      <c r="C67" s="11" t="s">
        <v>51</v>
      </c>
      <c r="D67" s="12">
        <v>128.4</v>
      </c>
      <c r="E67">
        <v>1645</v>
      </c>
      <c r="F67">
        <v>6452</v>
      </c>
      <c r="G67">
        <v>35964</v>
      </c>
      <c r="H67">
        <f>SUM(Table1[[#This Row],[Data In]:[Data Out]])</f>
        <v>8097</v>
      </c>
      <c r="I67" s="12">
        <f>MIN(Table1[Avg. Bandwidth])</f>
        <v>8.3000000000000007</v>
      </c>
      <c r="J67">
        <f>MAX(Table1[Avg. Bandwidth])</f>
        <v>273.3</v>
      </c>
      <c r="K67"/>
      <c r="L67"/>
      <c r="M67"/>
      <c r="N67"/>
      <c r="O67"/>
      <c r="P67"/>
      <c r="Q67"/>
      <c r="R67"/>
      <c r="S67"/>
      <c r="T67"/>
    </row>
    <row r="68" spans="1:20" x14ac:dyDescent="0.3">
      <c r="A68" s="43">
        <v>41477</v>
      </c>
      <c r="B68" s="10" t="s">
        <v>55</v>
      </c>
      <c r="C68" s="11" t="s">
        <v>51</v>
      </c>
      <c r="D68" s="12">
        <v>40.5</v>
      </c>
      <c r="E68">
        <v>1987</v>
      </c>
      <c r="F68">
        <v>1967</v>
      </c>
      <c r="G68">
        <v>12541</v>
      </c>
      <c r="H68">
        <f>SUM(Table1[[#This Row],[Data In]:[Data Out]])</f>
        <v>3954</v>
      </c>
      <c r="I68" s="12">
        <f>MIN(Table1[Avg. Bandwidth])</f>
        <v>8.3000000000000007</v>
      </c>
      <c r="J68">
        <f>MAX(Table1[Avg. Bandwidth])</f>
        <v>273.3</v>
      </c>
      <c r="K68"/>
      <c r="L68"/>
      <c r="M68"/>
      <c r="N68"/>
      <c r="O68"/>
      <c r="P68"/>
      <c r="Q68"/>
      <c r="R68"/>
      <c r="S68"/>
      <c r="T68"/>
    </row>
    <row r="69" spans="1:20" x14ac:dyDescent="0.3">
      <c r="A69" s="43">
        <v>41477</v>
      </c>
      <c r="B69" s="10" t="s">
        <v>56</v>
      </c>
      <c r="C69" s="11" t="s">
        <v>51</v>
      </c>
      <c r="D69" s="12">
        <v>111.2</v>
      </c>
      <c r="E69">
        <v>2941</v>
      </c>
      <c r="F69">
        <v>13452</v>
      </c>
      <c r="G69">
        <v>65974</v>
      </c>
      <c r="H69">
        <f>SUM(Table1[[#This Row],[Data In]:[Data Out]])</f>
        <v>16393</v>
      </c>
      <c r="I69" s="12">
        <f>MIN(Table1[Avg. Bandwidth])</f>
        <v>8.3000000000000007</v>
      </c>
      <c r="J69">
        <f>MAX(Table1[Avg. Bandwidth])</f>
        <v>273.3</v>
      </c>
      <c r="K69"/>
      <c r="L69"/>
      <c r="M69"/>
      <c r="N69"/>
      <c r="O69"/>
      <c r="P69"/>
      <c r="Q69"/>
      <c r="R69"/>
      <c r="S69"/>
      <c r="T69"/>
    </row>
    <row r="70" spans="1:20" x14ac:dyDescent="0.3">
      <c r="A70" s="43">
        <v>41477</v>
      </c>
      <c r="B70" s="10" t="s">
        <v>57</v>
      </c>
      <c r="C70" s="11" t="s">
        <v>51</v>
      </c>
      <c r="D70" s="12">
        <v>217.6</v>
      </c>
      <c r="E70">
        <v>3210</v>
      </c>
      <c r="F70">
        <v>24678</v>
      </c>
      <c r="G70">
        <v>103541</v>
      </c>
      <c r="H70">
        <f>SUM(Table1[[#This Row],[Data In]:[Data Out]])</f>
        <v>27888</v>
      </c>
      <c r="I70" s="12">
        <f>MIN(Table1[Avg. Bandwidth])</f>
        <v>8.3000000000000007</v>
      </c>
      <c r="J70">
        <f>MAX(Table1[Avg. Bandwidth])</f>
        <v>273.3</v>
      </c>
      <c r="K70"/>
      <c r="L70"/>
      <c r="M70"/>
      <c r="N70"/>
      <c r="O70"/>
      <c r="P70"/>
      <c r="Q70"/>
      <c r="R70"/>
      <c r="S70"/>
      <c r="T70"/>
    </row>
    <row r="71" spans="1:20" x14ac:dyDescent="0.3">
      <c r="A71" s="43">
        <v>41484</v>
      </c>
      <c r="B71" s="10" t="s">
        <v>50</v>
      </c>
      <c r="C71" s="11" t="s">
        <v>51</v>
      </c>
      <c r="D71" s="12">
        <v>55.1</v>
      </c>
      <c r="E71">
        <v>426</v>
      </c>
      <c r="F71">
        <v>2921</v>
      </c>
      <c r="G71">
        <v>11346</v>
      </c>
      <c r="H71">
        <f>SUM(Table1[[#This Row],[Data In]:[Data Out]])</f>
        <v>3347</v>
      </c>
      <c r="I71" s="12">
        <f>MIN(Table1[Avg. Bandwidth])</f>
        <v>8.3000000000000007</v>
      </c>
      <c r="J71">
        <f>MAX(Table1[Avg. Bandwidth])</f>
        <v>273.3</v>
      </c>
      <c r="K71"/>
      <c r="L71"/>
      <c r="M71"/>
      <c r="N71"/>
      <c r="O71"/>
      <c r="P71"/>
      <c r="Q71"/>
      <c r="R71"/>
      <c r="S71"/>
      <c r="T71"/>
    </row>
    <row r="72" spans="1:20" x14ac:dyDescent="0.3">
      <c r="A72" s="43">
        <v>41484</v>
      </c>
      <c r="B72" s="10" t="s">
        <v>54</v>
      </c>
      <c r="C72" s="11" t="s">
        <v>51</v>
      </c>
      <c r="D72" s="12">
        <v>118.9</v>
      </c>
      <c r="E72">
        <v>1515</v>
      </c>
      <c r="F72">
        <v>6320</v>
      </c>
      <c r="G72">
        <v>35144</v>
      </c>
      <c r="H72">
        <f>SUM(Table1[[#This Row],[Data In]:[Data Out]])</f>
        <v>7835</v>
      </c>
      <c r="I72" s="12">
        <f>MIN(Table1[Avg. Bandwidth])</f>
        <v>8.3000000000000007</v>
      </c>
      <c r="J72">
        <f>MAX(Table1[Avg. Bandwidth])</f>
        <v>273.3</v>
      </c>
      <c r="K72"/>
      <c r="L72"/>
      <c r="M72"/>
      <c r="N72"/>
      <c r="O72"/>
      <c r="P72"/>
      <c r="Q72"/>
      <c r="R72"/>
      <c r="S72"/>
      <c r="T72"/>
    </row>
    <row r="73" spans="1:20" x14ac:dyDescent="0.3">
      <c r="A73" s="43">
        <v>41484</v>
      </c>
      <c r="B73" s="10" t="s">
        <v>55</v>
      </c>
      <c r="C73" s="11" t="s">
        <v>51</v>
      </c>
      <c r="D73" s="12">
        <v>40.299999999999997</v>
      </c>
      <c r="E73">
        <v>1623</v>
      </c>
      <c r="F73">
        <v>2068</v>
      </c>
      <c r="G73">
        <v>9160</v>
      </c>
      <c r="H73">
        <f>SUM(Table1[[#This Row],[Data In]:[Data Out]])</f>
        <v>3691</v>
      </c>
      <c r="I73" s="12">
        <f>MIN(Table1[Avg. Bandwidth])</f>
        <v>8.3000000000000007</v>
      </c>
      <c r="J73">
        <f>MAX(Table1[Avg. Bandwidth])</f>
        <v>273.3</v>
      </c>
      <c r="K73"/>
      <c r="L73"/>
      <c r="M73"/>
      <c r="N73"/>
      <c r="O73"/>
      <c r="P73"/>
      <c r="Q73"/>
      <c r="R73"/>
      <c r="S73"/>
      <c r="T73"/>
    </row>
    <row r="74" spans="1:20" x14ac:dyDescent="0.3">
      <c r="A74" s="43">
        <v>41484</v>
      </c>
      <c r="B74" s="10" t="s">
        <v>56</v>
      </c>
      <c r="C74" s="11" t="s">
        <v>51</v>
      </c>
      <c r="D74" s="12">
        <v>118.9</v>
      </c>
      <c r="E74">
        <v>3164</v>
      </c>
      <c r="F74">
        <v>14697</v>
      </c>
      <c r="G74">
        <v>66903</v>
      </c>
      <c r="H74">
        <f>SUM(Table1[[#This Row],[Data In]:[Data Out]])</f>
        <v>17861</v>
      </c>
      <c r="I74" s="12">
        <f>MIN(Table1[Avg. Bandwidth])</f>
        <v>8.3000000000000007</v>
      </c>
      <c r="J74">
        <f>MAX(Table1[Avg. Bandwidth])</f>
        <v>273.3</v>
      </c>
      <c r="K74"/>
      <c r="L74"/>
      <c r="M74"/>
      <c r="N74"/>
      <c r="O74"/>
      <c r="P74"/>
      <c r="Q74"/>
      <c r="R74"/>
      <c r="S74"/>
      <c r="T74"/>
    </row>
    <row r="75" spans="1:20" x14ac:dyDescent="0.3">
      <c r="A75" s="43">
        <v>41484</v>
      </c>
      <c r="B75" s="10" t="s">
        <v>57</v>
      </c>
      <c r="C75" s="11" t="s">
        <v>51</v>
      </c>
      <c r="D75" s="12">
        <v>212.6</v>
      </c>
      <c r="E75">
        <v>3014</v>
      </c>
      <c r="F75">
        <v>22134</v>
      </c>
      <c r="G75">
        <v>97616</v>
      </c>
      <c r="H75">
        <f>SUM(Table1[[#This Row],[Data In]:[Data Out]])</f>
        <v>25148</v>
      </c>
      <c r="I75" s="12">
        <f>MIN(Table1[Avg. Bandwidth])</f>
        <v>8.3000000000000007</v>
      </c>
      <c r="J75">
        <f>MAX(Table1[Avg. Bandwidth])</f>
        <v>273.3</v>
      </c>
      <c r="K75"/>
      <c r="L75"/>
      <c r="M75"/>
      <c r="N75"/>
      <c r="O75"/>
      <c r="P75"/>
      <c r="Q75"/>
      <c r="R75"/>
      <c r="S75"/>
      <c r="T75"/>
    </row>
    <row r="76" spans="1:20" x14ac:dyDescent="0.3">
      <c r="A76" s="43">
        <v>41491</v>
      </c>
      <c r="B76" s="10" t="s">
        <v>50</v>
      </c>
      <c r="C76" s="11" t="s">
        <v>51</v>
      </c>
      <c r="D76" s="12">
        <v>54.9</v>
      </c>
      <c r="E76">
        <v>411</v>
      </c>
      <c r="F76">
        <v>2815</v>
      </c>
      <c r="G76">
        <v>10899</v>
      </c>
      <c r="H76">
        <f>SUM(Table1[[#This Row],[Data In]:[Data Out]])</f>
        <v>3226</v>
      </c>
      <c r="I76" s="12">
        <f>MIN(Table1[Avg. Bandwidth])</f>
        <v>8.3000000000000007</v>
      </c>
      <c r="J76">
        <f>MAX(Table1[Avg. Bandwidth])</f>
        <v>273.3</v>
      </c>
      <c r="K76"/>
      <c r="L76"/>
      <c r="M76"/>
      <c r="N76"/>
      <c r="O76"/>
      <c r="P76"/>
      <c r="Q76"/>
      <c r="R76"/>
      <c r="S76"/>
      <c r="T76"/>
    </row>
    <row r="77" spans="1:20" x14ac:dyDescent="0.3">
      <c r="A77" s="43">
        <v>41491</v>
      </c>
      <c r="B77" s="10" t="s">
        <v>54</v>
      </c>
      <c r="C77" s="11" t="s">
        <v>51</v>
      </c>
      <c r="D77" s="12">
        <v>117.6</v>
      </c>
      <c r="E77">
        <v>1423</v>
      </c>
      <c r="F77">
        <v>6024</v>
      </c>
      <c r="G77">
        <v>32679</v>
      </c>
      <c r="H77">
        <f>SUM(Table1[[#This Row],[Data In]:[Data Out]])</f>
        <v>7447</v>
      </c>
      <c r="I77" s="12">
        <f>MIN(Table1[Avg. Bandwidth])</f>
        <v>8.3000000000000007</v>
      </c>
      <c r="J77">
        <f>MAX(Table1[Avg. Bandwidth])</f>
        <v>273.3</v>
      </c>
      <c r="K77"/>
      <c r="L77"/>
      <c r="M77"/>
      <c r="N77"/>
      <c r="O77"/>
      <c r="P77"/>
      <c r="Q77"/>
      <c r="R77"/>
      <c r="S77"/>
      <c r="T77"/>
    </row>
    <row r="78" spans="1:20" x14ac:dyDescent="0.3">
      <c r="A78" s="43">
        <v>41491</v>
      </c>
      <c r="B78" s="10" t="s">
        <v>55</v>
      </c>
      <c r="C78" s="11" t="s">
        <v>51</v>
      </c>
      <c r="D78" s="12">
        <v>39.9</v>
      </c>
      <c r="E78">
        <v>1534</v>
      </c>
      <c r="F78">
        <v>2034</v>
      </c>
      <c r="G78">
        <v>9046</v>
      </c>
      <c r="H78">
        <f>SUM(Table1[[#This Row],[Data In]:[Data Out]])</f>
        <v>3568</v>
      </c>
      <c r="I78" s="12">
        <f>MIN(Table1[Avg. Bandwidth])</f>
        <v>8.3000000000000007</v>
      </c>
      <c r="J78">
        <f>MAX(Table1[Avg. Bandwidth])</f>
        <v>273.3</v>
      </c>
      <c r="K78"/>
      <c r="L78"/>
      <c r="M78"/>
      <c r="N78"/>
      <c r="O78"/>
      <c r="P78"/>
      <c r="Q78"/>
      <c r="R78"/>
      <c r="S78"/>
      <c r="T78"/>
    </row>
    <row r="79" spans="1:20" x14ac:dyDescent="0.3">
      <c r="A79" s="43">
        <v>41491</v>
      </c>
      <c r="B79" s="10" t="s">
        <v>56</v>
      </c>
      <c r="C79" s="11" t="s">
        <v>51</v>
      </c>
      <c r="D79" s="12">
        <v>120.6</v>
      </c>
      <c r="E79">
        <v>3564</v>
      </c>
      <c r="F79">
        <v>16402</v>
      </c>
      <c r="G79">
        <v>69451</v>
      </c>
      <c r="H79">
        <f>SUM(Table1[[#This Row],[Data In]:[Data Out]])</f>
        <v>19966</v>
      </c>
      <c r="I79" s="12">
        <f>MIN(Table1[Avg. Bandwidth])</f>
        <v>8.3000000000000007</v>
      </c>
      <c r="J79">
        <f>MAX(Table1[Avg. Bandwidth])</f>
        <v>273.3</v>
      </c>
      <c r="K79"/>
      <c r="L79"/>
      <c r="M79"/>
      <c r="N79"/>
      <c r="O79"/>
      <c r="P79"/>
      <c r="Q79"/>
      <c r="R79"/>
      <c r="S79"/>
      <c r="T79"/>
    </row>
    <row r="80" spans="1:20" x14ac:dyDescent="0.3">
      <c r="A80" s="43">
        <v>41491</v>
      </c>
      <c r="B80" s="10" t="s">
        <v>57</v>
      </c>
      <c r="C80" s="11" t="s">
        <v>51</v>
      </c>
      <c r="D80" s="12">
        <v>204.3</v>
      </c>
      <c r="E80">
        <v>2750</v>
      </c>
      <c r="F80">
        <v>20633</v>
      </c>
      <c r="G80">
        <v>95730</v>
      </c>
      <c r="H80">
        <f>SUM(Table1[[#This Row],[Data In]:[Data Out]])</f>
        <v>23383</v>
      </c>
      <c r="I80" s="12">
        <f>MIN(Table1[Avg. Bandwidth])</f>
        <v>8.3000000000000007</v>
      </c>
      <c r="J80">
        <f>MAX(Table1[Avg. Bandwidth])</f>
        <v>273.3</v>
      </c>
      <c r="K80"/>
      <c r="L80"/>
      <c r="M80"/>
      <c r="N80"/>
      <c r="O80"/>
      <c r="P80"/>
      <c r="Q80"/>
      <c r="R80"/>
      <c r="S80"/>
      <c r="T80"/>
    </row>
    <row r="81" spans="1:20" x14ac:dyDescent="0.3">
      <c r="A81" s="43">
        <v>41498</v>
      </c>
      <c r="B81" s="10" t="s">
        <v>50</v>
      </c>
      <c r="C81" s="11" t="s">
        <v>51</v>
      </c>
      <c r="D81" s="12">
        <v>53.1</v>
      </c>
      <c r="E81">
        <v>394</v>
      </c>
      <c r="F81">
        <v>2687</v>
      </c>
      <c r="G81">
        <v>9854</v>
      </c>
      <c r="H81">
        <f>SUM(Table1[[#This Row],[Data In]:[Data Out]])</f>
        <v>3081</v>
      </c>
      <c r="I81" s="12">
        <f>MIN(Table1[Avg. Bandwidth])</f>
        <v>8.3000000000000007</v>
      </c>
      <c r="J81">
        <f>MAX(Table1[Avg. Bandwidth])</f>
        <v>273.3</v>
      </c>
      <c r="K81"/>
      <c r="L81"/>
      <c r="M81"/>
      <c r="N81"/>
      <c r="O81"/>
      <c r="P81"/>
      <c r="Q81"/>
      <c r="R81"/>
      <c r="S81"/>
      <c r="T81"/>
    </row>
    <row r="82" spans="1:20" x14ac:dyDescent="0.3">
      <c r="A82" s="43">
        <v>41498</v>
      </c>
      <c r="B82" s="10" t="s">
        <v>54</v>
      </c>
      <c r="C82" s="11" t="s">
        <v>51</v>
      </c>
      <c r="D82" s="12">
        <v>112.4</v>
      </c>
      <c r="E82">
        <v>1235</v>
      </c>
      <c r="F82">
        <v>5867</v>
      </c>
      <c r="G82">
        <v>31656</v>
      </c>
      <c r="H82">
        <f>SUM(Table1[[#This Row],[Data In]:[Data Out]])</f>
        <v>7102</v>
      </c>
      <c r="I82" s="12">
        <f>MIN(Table1[Avg. Bandwidth])</f>
        <v>8.3000000000000007</v>
      </c>
      <c r="J82">
        <f>MAX(Table1[Avg. Bandwidth])</f>
        <v>273.3</v>
      </c>
      <c r="K82"/>
      <c r="L82"/>
      <c r="M82"/>
      <c r="N82"/>
      <c r="O82"/>
      <c r="P82"/>
      <c r="Q82"/>
      <c r="R82"/>
      <c r="S82"/>
      <c r="T82"/>
    </row>
    <row r="83" spans="1:20" x14ac:dyDescent="0.3">
      <c r="A83" s="43">
        <v>41498</v>
      </c>
      <c r="B83" s="10" t="s">
        <v>55</v>
      </c>
      <c r="C83" s="11" t="s">
        <v>51</v>
      </c>
      <c r="D83" s="12">
        <v>36.4</v>
      </c>
      <c r="E83">
        <v>1370</v>
      </c>
      <c r="F83">
        <v>1876</v>
      </c>
      <c r="G83">
        <v>8836</v>
      </c>
      <c r="H83">
        <f>SUM(Table1[[#This Row],[Data In]:[Data Out]])</f>
        <v>3246</v>
      </c>
      <c r="I83" s="12">
        <f>MIN(Table1[Avg. Bandwidth])</f>
        <v>8.3000000000000007</v>
      </c>
      <c r="J83">
        <f>MAX(Table1[Avg. Bandwidth])</f>
        <v>273.3</v>
      </c>
      <c r="K83"/>
      <c r="L83"/>
      <c r="M83"/>
      <c r="N83"/>
      <c r="O83"/>
      <c r="P83"/>
      <c r="Q83"/>
      <c r="R83"/>
      <c r="S83"/>
      <c r="T83"/>
    </row>
    <row r="84" spans="1:20" x14ac:dyDescent="0.3">
      <c r="A84" s="43">
        <v>41498</v>
      </c>
      <c r="B84" s="10" t="s">
        <v>56</v>
      </c>
      <c r="C84" s="11" t="s">
        <v>51</v>
      </c>
      <c r="D84" s="12">
        <v>125.7</v>
      </c>
      <c r="E84">
        <v>3815</v>
      </c>
      <c r="F84">
        <v>18967</v>
      </c>
      <c r="G84">
        <v>71362</v>
      </c>
      <c r="H84">
        <f>SUM(Table1[[#This Row],[Data In]:[Data Out]])</f>
        <v>22782</v>
      </c>
      <c r="I84" s="12">
        <f>MIN(Table1[Avg. Bandwidth])</f>
        <v>8.3000000000000007</v>
      </c>
      <c r="J84">
        <f>MAX(Table1[Avg. Bandwidth])</f>
        <v>273.3</v>
      </c>
      <c r="K84"/>
      <c r="L84"/>
      <c r="M84"/>
      <c r="N84"/>
      <c r="O84"/>
      <c r="P84"/>
      <c r="Q84"/>
      <c r="R84"/>
      <c r="S84"/>
      <c r="T84"/>
    </row>
    <row r="85" spans="1:20" x14ac:dyDescent="0.3">
      <c r="A85" s="43">
        <v>41498</v>
      </c>
      <c r="B85" s="10" t="s">
        <v>57</v>
      </c>
      <c r="C85" s="11" t="s">
        <v>51</v>
      </c>
      <c r="D85" s="12">
        <v>200.4</v>
      </c>
      <c r="E85">
        <v>2642</v>
      </c>
      <c r="F85">
        <v>20163</v>
      </c>
      <c r="G85">
        <v>9684</v>
      </c>
      <c r="H85">
        <f>SUM(Table1[[#This Row],[Data In]:[Data Out]])</f>
        <v>22805</v>
      </c>
      <c r="I85" s="12">
        <f>MIN(Table1[Avg. Bandwidth])</f>
        <v>8.3000000000000007</v>
      </c>
      <c r="J85">
        <f>MAX(Table1[Avg. Bandwidth])</f>
        <v>273.3</v>
      </c>
      <c r="K85"/>
      <c r="L85"/>
      <c r="M85"/>
      <c r="N85"/>
      <c r="O85"/>
      <c r="P85"/>
      <c r="Q85"/>
      <c r="R85"/>
      <c r="S85"/>
      <c r="T85"/>
    </row>
    <row r="86" spans="1:20" x14ac:dyDescent="0.3">
      <c r="A86" s="43">
        <v>41505</v>
      </c>
      <c r="B86" s="10" t="s">
        <v>50</v>
      </c>
      <c r="C86" s="11" t="s">
        <v>51</v>
      </c>
      <c r="D86" s="12">
        <v>52.5</v>
      </c>
      <c r="E86">
        <v>388</v>
      </c>
      <c r="F86">
        <v>2564</v>
      </c>
      <c r="G86">
        <v>9687</v>
      </c>
      <c r="H86">
        <f>SUM(Table1[[#This Row],[Data In]:[Data Out]])</f>
        <v>2952</v>
      </c>
      <c r="I86" s="12">
        <f>MIN(Table1[Avg. Bandwidth])</f>
        <v>8.3000000000000007</v>
      </c>
      <c r="J86">
        <f>MAX(Table1[Avg. Bandwidth])</f>
        <v>273.3</v>
      </c>
      <c r="K86"/>
      <c r="L86"/>
      <c r="M86"/>
      <c r="N86"/>
      <c r="O86"/>
      <c r="P86"/>
      <c r="Q86"/>
      <c r="R86"/>
      <c r="S86"/>
      <c r="T86"/>
    </row>
    <row r="87" spans="1:20" x14ac:dyDescent="0.3">
      <c r="A87" s="43">
        <v>41505</v>
      </c>
      <c r="B87" s="10" t="s">
        <v>54</v>
      </c>
      <c r="C87" s="11" t="s">
        <v>51</v>
      </c>
      <c r="D87" s="12">
        <v>110.9</v>
      </c>
      <c r="E87">
        <v>1204</v>
      </c>
      <c r="F87">
        <v>5793</v>
      </c>
      <c r="G87">
        <v>31257</v>
      </c>
      <c r="H87">
        <f>SUM(Table1[[#This Row],[Data In]:[Data Out]])</f>
        <v>6997</v>
      </c>
      <c r="I87" s="12">
        <f>MIN(Table1[Avg. Bandwidth])</f>
        <v>8.3000000000000007</v>
      </c>
      <c r="J87">
        <f>MAX(Table1[Avg. Bandwidth])</f>
        <v>273.3</v>
      </c>
      <c r="K87"/>
      <c r="L87"/>
      <c r="M87"/>
      <c r="N87"/>
      <c r="O87"/>
      <c r="P87"/>
      <c r="Q87"/>
      <c r="R87"/>
      <c r="S87"/>
      <c r="T87"/>
    </row>
    <row r="88" spans="1:20" x14ac:dyDescent="0.3">
      <c r="A88" s="43">
        <v>41505</v>
      </c>
      <c r="B88" s="10" t="s">
        <v>55</v>
      </c>
      <c r="C88" s="11" t="s">
        <v>51</v>
      </c>
      <c r="D88" s="12">
        <v>32.6</v>
      </c>
      <c r="E88">
        <v>1135</v>
      </c>
      <c r="F88">
        <v>1684</v>
      </c>
      <c r="G88">
        <v>8403</v>
      </c>
      <c r="H88">
        <f>SUM(Table1[[#This Row],[Data In]:[Data Out]])</f>
        <v>2819</v>
      </c>
      <c r="I88" s="12">
        <f>MIN(Table1[Avg. Bandwidth])</f>
        <v>8.3000000000000007</v>
      </c>
      <c r="J88">
        <f>MAX(Table1[Avg. Bandwidth])</f>
        <v>273.3</v>
      </c>
      <c r="K88"/>
      <c r="L88"/>
      <c r="M88"/>
      <c r="N88"/>
      <c r="O88"/>
      <c r="P88"/>
      <c r="Q88"/>
      <c r="R88"/>
      <c r="S88"/>
      <c r="T88"/>
    </row>
    <row r="89" spans="1:20" x14ac:dyDescent="0.3">
      <c r="A89" s="43">
        <v>41505</v>
      </c>
      <c r="B89" s="10" t="s">
        <v>56</v>
      </c>
      <c r="C89" s="11" t="s">
        <v>51</v>
      </c>
      <c r="D89" s="12">
        <v>130.6</v>
      </c>
      <c r="E89">
        <v>3994</v>
      </c>
      <c r="F89">
        <v>19652</v>
      </c>
      <c r="G89">
        <v>73542</v>
      </c>
      <c r="H89">
        <f>SUM(Table1[[#This Row],[Data In]:[Data Out]])</f>
        <v>23646</v>
      </c>
      <c r="I89" s="12">
        <f>MIN(Table1[Avg. Bandwidth])</f>
        <v>8.3000000000000007</v>
      </c>
      <c r="J89">
        <f>MAX(Table1[Avg. Bandwidth])</f>
        <v>273.3</v>
      </c>
      <c r="K89"/>
      <c r="L89"/>
      <c r="M89"/>
      <c r="N89"/>
      <c r="O89"/>
      <c r="P89"/>
      <c r="Q89"/>
      <c r="R89"/>
      <c r="S89"/>
      <c r="T89"/>
    </row>
    <row r="90" spans="1:20" x14ac:dyDescent="0.3">
      <c r="A90" s="43">
        <v>41505</v>
      </c>
      <c r="B90" s="10" t="s">
        <v>57</v>
      </c>
      <c r="C90" s="11" t="s">
        <v>51</v>
      </c>
      <c r="D90" s="12">
        <v>199.1</v>
      </c>
      <c r="E90">
        <v>6002</v>
      </c>
      <c r="F90">
        <v>26945</v>
      </c>
      <c r="G90">
        <v>88651</v>
      </c>
      <c r="H90">
        <f>SUM(Table1[[#This Row],[Data In]:[Data Out]])</f>
        <v>32947</v>
      </c>
      <c r="I90" s="12">
        <f>MIN(Table1[Avg. Bandwidth])</f>
        <v>8.3000000000000007</v>
      </c>
      <c r="J90">
        <f>MAX(Table1[Avg. Bandwidth])</f>
        <v>273.3</v>
      </c>
      <c r="K90"/>
      <c r="L90"/>
      <c r="M90"/>
      <c r="N90"/>
      <c r="O90"/>
      <c r="P90"/>
      <c r="Q90"/>
      <c r="R90"/>
      <c r="S90"/>
      <c r="T90"/>
    </row>
    <row r="91" spans="1:20" x14ac:dyDescent="0.3">
      <c r="A91" s="43">
        <v>41512</v>
      </c>
      <c r="B91" s="10" t="s">
        <v>50</v>
      </c>
      <c r="C91" s="11" t="s">
        <v>51</v>
      </c>
      <c r="D91" s="12">
        <v>53.2</v>
      </c>
      <c r="E91">
        <v>402</v>
      </c>
      <c r="F91">
        <v>2616</v>
      </c>
      <c r="G91">
        <v>9964</v>
      </c>
      <c r="H91">
        <f>SUM(Table1[[#This Row],[Data In]:[Data Out]])</f>
        <v>3018</v>
      </c>
      <c r="I91" s="12">
        <f>MIN(Table1[Avg. Bandwidth])</f>
        <v>8.3000000000000007</v>
      </c>
      <c r="J91">
        <f>MAX(Table1[Avg. Bandwidth])</f>
        <v>273.3</v>
      </c>
      <c r="K91"/>
      <c r="L91"/>
      <c r="M91"/>
      <c r="N91"/>
      <c r="O91"/>
      <c r="P91"/>
      <c r="Q91"/>
      <c r="R91"/>
      <c r="S91"/>
      <c r="T91"/>
    </row>
    <row r="92" spans="1:20" x14ac:dyDescent="0.3">
      <c r="A92" s="43">
        <v>41512</v>
      </c>
      <c r="B92" s="10" t="s">
        <v>54</v>
      </c>
      <c r="C92" s="11" t="s">
        <v>51</v>
      </c>
      <c r="D92" s="12">
        <v>112.6</v>
      </c>
      <c r="E92">
        <v>1267</v>
      </c>
      <c r="F92">
        <v>5931</v>
      </c>
      <c r="G92">
        <v>33549</v>
      </c>
      <c r="H92">
        <f>SUM(Table1[[#This Row],[Data In]:[Data Out]])</f>
        <v>7198</v>
      </c>
      <c r="I92" s="12">
        <f>MIN(Table1[Avg. Bandwidth])</f>
        <v>8.3000000000000007</v>
      </c>
      <c r="J92">
        <f>MAX(Table1[Avg. Bandwidth])</f>
        <v>273.3</v>
      </c>
      <c r="K92"/>
      <c r="L92"/>
      <c r="M92"/>
      <c r="N92"/>
      <c r="O92"/>
      <c r="P92"/>
      <c r="Q92"/>
      <c r="R92"/>
      <c r="S92"/>
      <c r="T92"/>
    </row>
    <row r="93" spans="1:20" x14ac:dyDescent="0.3">
      <c r="A93" s="43">
        <v>41512</v>
      </c>
      <c r="B93" s="10" t="s">
        <v>55</v>
      </c>
      <c r="C93" s="11" t="s">
        <v>51</v>
      </c>
      <c r="D93" s="12">
        <v>32.9</v>
      </c>
      <c r="E93">
        <v>1164</v>
      </c>
      <c r="F93">
        <v>1881</v>
      </c>
      <c r="G93">
        <v>9036</v>
      </c>
      <c r="H93">
        <f>SUM(Table1[[#This Row],[Data In]:[Data Out]])</f>
        <v>3045</v>
      </c>
      <c r="I93" s="12">
        <f>MIN(Table1[Avg. Bandwidth])</f>
        <v>8.3000000000000007</v>
      </c>
      <c r="J93">
        <f>MAX(Table1[Avg. Bandwidth])</f>
        <v>273.3</v>
      </c>
      <c r="K93"/>
      <c r="L93"/>
      <c r="M93"/>
      <c r="N93"/>
      <c r="O93"/>
      <c r="P93"/>
      <c r="Q93"/>
      <c r="R93"/>
      <c r="S93"/>
      <c r="T93"/>
    </row>
    <row r="94" spans="1:20" x14ac:dyDescent="0.3">
      <c r="A94" s="43">
        <v>41512</v>
      </c>
      <c r="B94" s="10" t="s">
        <v>56</v>
      </c>
      <c r="C94" s="11" t="s">
        <v>51</v>
      </c>
      <c r="D94" s="12">
        <v>131.19999999999999</v>
      </c>
      <c r="E94">
        <v>4138</v>
      </c>
      <c r="F94">
        <v>20365</v>
      </c>
      <c r="G94">
        <v>75684</v>
      </c>
      <c r="H94">
        <f>SUM(Table1[[#This Row],[Data In]:[Data Out]])</f>
        <v>24503</v>
      </c>
      <c r="I94" s="12">
        <f>MIN(Table1[Avg. Bandwidth])</f>
        <v>8.3000000000000007</v>
      </c>
      <c r="J94">
        <f>MAX(Table1[Avg. Bandwidth])</f>
        <v>273.3</v>
      </c>
      <c r="K94"/>
      <c r="L94"/>
      <c r="M94"/>
      <c r="N94"/>
      <c r="O94"/>
      <c r="P94"/>
      <c r="Q94"/>
      <c r="R94"/>
      <c r="S94"/>
      <c r="T94"/>
    </row>
    <row r="95" spans="1:20" x14ac:dyDescent="0.3">
      <c r="A95" s="43">
        <v>41512</v>
      </c>
      <c r="B95" s="10" t="s">
        <v>57</v>
      </c>
      <c r="C95" s="11" t="s">
        <v>51</v>
      </c>
      <c r="D95" s="12">
        <v>203.3</v>
      </c>
      <c r="E95">
        <v>6115</v>
      </c>
      <c r="F95">
        <v>28024</v>
      </c>
      <c r="G95">
        <v>89135</v>
      </c>
      <c r="H95">
        <f>SUM(Table1[[#This Row],[Data In]:[Data Out]])</f>
        <v>34139</v>
      </c>
      <c r="I95" s="12">
        <f>MIN(Table1[Avg. Bandwidth])</f>
        <v>8.3000000000000007</v>
      </c>
      <c r="J95">
        <f>MAX(Table1[Avg. Bandwidth])</f>
        <v>273.3</v>
      </c>
      <c r="K95"/>
      <c r="L95"/>
      <c r="M95"/>
      <c r="N95"/>
      <c r="O95"/>
      <c r="P95"/>
      <c r="Q95"/>
      <c r="R95"/>
      <c r="S95"/>
      <c r="T95"/>
    </row>
    <row r="96" spans="1:20" x14ac:dyDescent="0.3">
      <c r="A96" s="43">
        <v>41456</v>
      </c>
      <c r="B96" s="10" t="s">
        <v>50</v>
      </c>
      <c r="C96" s="11" t="s">
        <v>52</v>
      </c>
      <c r="D96" s="12">
        <v>48.5</v>
      </c>
      <c r="E96">
        <v>406</v>
      </c>
      <c r="F96">
        <v>2674</v>
      </c>
      <c r="G96">
        <v>8513</v>
      </c>
      <c r="H96">
        <f>SUM(Table1[[#This Row],[Data In]:[Data Out]])</f>
        <v>3080</v>
      </c>
      <c r="I96" s="12">
        <f>MIN(Table1[Avg. Bandwidth])</f>
        <v>8.3000000000000007</v>
      </c>
      <c r="J96">
        <f>MAX(Table1[Avg. Bandwidth])</f>
        <v>273.3</v>
      </c>
      <c r="K96"/>
      <c r="L96"/>
      <c r="M96"/>
      <c r="N96"/>
      <c r="O96"/>
      <c r="P96"/>
      <c r="Q96"/>
      <c r="R96"/>
      <c r="S96"/>
      <c r="T96"/>
    </row>
    <row r="97" spans="1:20" x14ac:dyDescent="0.3">
      <c r="A97" s="43">
        <v>41456</v>
      </c>
      <c r="B97" s="10" t="s">
        <v>54</v>
      </c>
      <c r="C97" s="11" t="s">
        <v>52</v>
      </c>
      <c r="D97" s="12">
        <v>59.8</v>
      </c>
      <c r="E97">
        <v>964</v>
      </c>
      <c r="F97">
        <v>4766</v>
      </c>
      <c r="G97">
        <v>25164</v>
      </c>
      <c r="H97">
        <f>SUM(Table1[[#This Row],[Data In]:[Data Out]])</f>
        <v>5730</v>
      </c>
      <c r="I97" s="12">
        <f>MIN(Table1[Avg. Bandwidth])</f>
        <v>8.3000000000000007</v>
      </c>
      <c r="J97">
        <f>MAX(Table1[Avg. Bandwidth])</f>
        <v>273.3</v>
      </c>
      <c r="K97"/>
      <c r="L97"/>
      <c r="M97"/>
      <c r="N97"/>
      <c r="O97"/>
      <c r="P97"/>
      <c r="Q97"/>
      <c r="R97"/>
      <c r="S97"/>
      <c r="T97"/>
    </row>
    <row r="98" spans="1:20" x14ac:dyDescent="0.3">
      <c r="A98" s="43">
        <v>41456</v>
      </c>
      <c r="B98" s="10" t="s">
        <v>55</v>
      </c>
      <c r="C98" s="11" t="s">
        <v>52</v>
      </c>
      <c r="D98" s="12">
        <v>16.399999999999999</v>
      </c>
      <c r="E98">
        <v>876</v>
      </c>
      <c r="F98">
        <v>1643</v>
      </c>
      <c r="G98">
        <v>8460</v>
      </c>
      <c r="H98">
        <f>SUM(Table1[[#This Row],[Data In]:[Data Out]])</f>
        <v>2519</v>
      </c>
      <c r="I98" s="12">
        <f>MIN(Table1[Avg. Bandwidth])</f>
        <v>8.3000000000000007</v>
      </c>
      <c r="J98">
        <f>MAX(Table1[Avg. Bandwidth])</f>
        <v>273.3</v>
      </c>
      <c r="K98"/>
      <c r="L98"/>
      <c r="M98"/>
      <c r="N98"/>
      <c r="O98"/>
      <c r="P98"/>
      <c r="Q98"/>
      <c r="R98"/>
      <c r="S98"/>
      <c r="T98"/>
    </row>
    <row r="99" spans="1:20" x14ac:dyDescent="0.3">
      <c r="A99" s="43">
        <v>41456</v>
      </c>
      <c r="B99" s="10" t="s">
        <v>56</v>
      </c>
      <c r="C99" s="11" t="s">
        <v>52</v>
      </c>
      <c r="D99" s="12">
        <v>84.6</v>
      </c>
      <c r="E99">
        <v>1684</v>
      </c>
      <c r="F99">
        <v>9467</v>
      </c>
      <c r="G99">
        <v>46810</v>
      </c>
      <c r="H99">
        <f>SUM(Table1[[#This Row],[Data In]:[Data Out]])</f>
        <v>11151</v>
      </c>
      <c r="I99" s="12">
        <f>MIN(Table1[Avg. Bandwidth])</f>
        <v>8.3000000000000007</v>
      </c>
      <c r="J99">
        <f>MAX(Table1[Avg. Bandwidth])</f>
        <v>273.3</v>
      </c>
      <c r="K99"/>
      <c r="L99"/>
      <c r="M99"/>
      <c r="N99"/>
      <c r="O99"/>
      <c r="P99"/>
      <c r="Q99"/>
      <c r="R99"/>
      <c r="S99"/>
      <c r="T99"/>
    </row>
    <row r="100" spans="1:20" x14ac:dyDescent="0.3">
      <c r="A100" s="43">
        <v>41456</v>
      </c>
      <c r="B100" s="10" t="s">
        <v>57</v>
      </c>
      <c r="C100" s="11" t="s">
        <v>52</v>
      </c>
      <c r="D100" s="12">
        <v>184</v>
      </c>
      <c r="E100">
        <v>2649</v>
      </c>
      <c r="F100">
        <v>19733</v>
      </c>
      <c r="G100">
        <v>78669</v>
      </c>
      <c r="H100">
        <f>SUM(Table1[[#This Row],[Data In]:[Data Out]])</f>
        <v>22382</v>
      </c>
      <c r="I100" s="12">
        <f>MIN(Table1[Avg. Bandwidth])</f>
        <v>8.3000000000000007</v>
      </c>
      <c r="J100">
        <f>MAX(Table1[Avg. Bandwidth])</f>
        <v>273.3</v>
      </c>
      <c r="K100"/>
      <c r="L100"/>
      <c r="M100"/>
      <c r="N100"/>
      <c r="O100"/>
      <c r="P100"/>
      <c r="Q100"/>
      <c r="R100"/>
      <c r="S100"/>
      <c r="T100"/>
    </row>
    <row r="101" spans="1:20" x14ac:dyDescent="0.3">
      <c r="A101" s="43">
        <v>41463</v>
      </c>
      <c r="B101" s="10" t="s">
        <v>50</v>
      </c>
      <c r="C101" s="11" t="s">
        <v>52</v>
      </c>
      <c r="D101" s="12">
        <v>50.1</v>
      </c>
      <c r="E101">
        <v>364</v>
      </c>
      <c r="F101">
        <v>2514</v>
      </c>
      <c r="G101">
        <v>8302</v>
      </c>
      <c r="H101">
        <f>SUM(Table1[[#This Row],[Data In]:[Data Out]])</f>
        <v>2878</v>
      </c>
      <c r="I101" s="12">
        <f>MIN(Table1[Avg. Bandwidth])</f>
        <v>8.3000000000000007</v>
      </c>
      <c r="J101">
        <f>MAX(Table1[Avg. Bandwidth])</f>
        <v>273.3</v>
      </c>
      <c r="K101"/>
      <c r="L101"/>
      <c r="M101"/>
      <c r="N101"/>
      <c r="O101"/>
      <c r="P101"/>
      <c r="Q101"/>
      <c r="R101"/>
      <c r="S101"/>
      <c r="T101"/>
    </row>
    <row r="102" spans="1:20" x14ac:dyDescent="0.3">
      <c r="A102" s="43">
        <v>41463</v>
      </c>
      <c r="B102" s="10" t="s">
        <v>54</v>
      </c>
      <c r="C102" s="11" t="s">
        <v>52</v>
      </c>
      <c r="D102" s="12">
        <v>60.2</v>
      </c>
      <c r="E102">
        <v>840</v>
      </c>
      <c r="F102">
        <v>4032</v>
      </c>
      <c r="G102">
        <v>23164</v>
      </c>
      <c r="H102">
        <f>SUM(Table1[[#This Row],[Data In]:[Data Out]])</f>
        <v>4872</v>
      </c>
      <c r="I102" s="12">
        <f>MIN(Table1[Avg. Bandwidth])</f>
        <v>8.3000000000000007</v>
      </c>
      <c r="J102">
        <f>MAX(Table1[Avg. Bandwidth])</f>
        <v>273.3</v>
      </c>
      <c r="K102"/>
      <c r="L102"/>
      <c r="M102"/>
      <c r="N102"/>
      <c r="O102"/>
      <c r="P102"/>
      <c r="Q102"/>
      <c r="R102"/>
      <c r="S102"/>
      <c r="T102"/>
    </row>
    <row r="103" spans="1:20" x14ac:dyDescent="0.3">
      <c r="A103" s="43">
        <v>41463</v>
      </c>
      <c r="B103" s="10" t="s">
        <v>55</v>
      </c>
      <c r="C103" s="11" t="s">
        <v>52</v>
      </c>
      <c r="D103" s="12">
        <v>13.4</v>
      </c>
      <c r="E103">
        <v>861</v>
      </c>
      <c r="F103">
        <v>1506</v>
      </c>
      <c r="G103">
        <v>8134</v>
      </c>
      <c r="H103">
        <f>SUM(Table1[[#This Row],[Data In]:[Data Out]])</f>
        <v>2367</v>
      </c>
      <c r="I103" s="12">
        <f>MIN(Table1[Avg. Bandwidth])</f>
        <v>8.3000000000000007</v>
      </c>
      <c r="J103">
        <f>MAX(Table1[Avg. Bandwidth])</f>
        <v>273.3</v>
      </c>
      <c r="K103"/>
      <c r="L103"/>
      <c r="M103"/>
      <c r="N103"/>
      <c r="O103"/>
      <c r="P103"/>
      <c r="Q103"/>
      <c r="R103"/>
      <c r="S103"/>
      <c r="T103"/>
    </row>
    <row r="104" spans="1:20" x14ac:dyDescent="0.3">
      <c r="A104" s="43">
        <v>41463</v>
      </c>
      <c r="B104" s="10" t="s">
        <v>56</v>
      </c>
      <c r="C104" s="11" t="s">
        <v>52</v>
      </c>
      <c r="D104" s="12">
        <v>88.5</v>
      </c>
      <c r="E104">
        <v>1794</v>
      </c>
      <c r="F104">
        <v>9501</v>
      </c>
      <c r="G104">
        <v>46795</v>
      </c>
      <c r="H104">
        <f>SUM(Table1[[#This Row],[Data In]:[Data Out]])</f>
        <v>11295</v>
      </c>
      <c r="I104" s="12">
        <f>MIN(Table1[Avg. Bandwidth])</f>
        <v>8.3000000000000007</v>
      </c>
      <c r="J104">
        <f>MAX(Table1[Avg. Bandwidth])</f>
        <v>273.3</v>
      </c>
      <c r="K104"/>
      <c r="L104"/>
      <c r="M104"/>
      <c r="N104"/>
      <c r="O104"/>
      <c r="P104"/>
      <c r="Q104"/>
      <c r="R104"/>
      <c r="S104"/>
      <c r="T104"/>
    </row>
    <row r="105" spans="1:20" x14ac:dyDescent="0.3">
      <c r="A105" s="43">
        <v>41463</v>
      </c>
      <c r="B105" s="10" t="s">
        <v>57</v>
      </c>
      <c r="C105" s="11" t="s">
        <v>52</v>
      </c>
      <c r="D105" s="12">
        <v>164.1</v>
      </c>
      <c r="E105">
        <v>2514</v>
      </c>
      <c r="F105">
        <v>18465</v>
      </c>
      <c r="G105">
        <v>76204</v>
      </c>
      <c r="H105">
        <f>SUM(Table1[[#This Row],[Data In]:[Data Out]])</f>
        <v>20979</v>
      </c>
      <c r="I105" s="12">
        <f>MIN(Table1[Avg. Bandwidth])</f>
        <v>8.3000000000000007</v>
      </c>
      <c r="J105">
        <f>MAX(Table1[Avg. Bandwidth])</f>
        <v>273.3</v>
      </c>
      <c r="K105"/>
      <c r="L105"/>
      <c r="M105"/>
      <c r="N105"/>
      <c r="O105"/>
      <c r="P105"/>
      <c r="Q105"/>
      <c r="R105"/>
      <c r="S105"/>
      <c r="T105"/>
    </row>
    <row r="106" spans="1:20" x14ac:dyDescent="0.3">
      <c r="A106" s="43">
        <v>41470</v>
      </c>
      <c r="B106" s="10" t="s">
        <v>50</v>
      </c>
      <c r="C106" s="11" t="s">
        <v>52</v>
      </c>
      <c r="D106" s="12">
        <v>52</v>
      </c>
      <c r="E106">
        <v>381</v>
      </c>
      <c r="F106">
        <v>2748</v>
      </c>
      <c r="G106">
        <v>8647</v>
      </c>
      <c r="H106">
        <f>SUM(Table1[[#This Row],[Data In]:[Data Out]])</f>
        <v>3129</v>
      </c>
      <c r="I106" s="12">
        <f>MIN(Table1[Avg. Bandwidth])</f>
        <v>8.3000000000000007</v>
      </c>
      <c r="J106">
        <f>MAX(Table1[Avg. Bandwidth])</f>
        <v>273.3</v>
      </c>
      <c r="K106"/>
      <c r="L106"/>
      <c r="M106"/>
      <c r="N106"/>
      <c r="O106"/>
      <c r="P106"/>
      <c r="Q106"/>
      <c r="R106"/>
      <c r="S106"/>
      <c r="T106"/>
    </row>
    <row r="107" spans="1:20" x14ac:dyDescent="0.3">
      <c r="A107" s="43">
        <v>41470</v>
      </c>
      <c r="B107" s="10" t="s">
        <v>54</v>
      </c>
      <c r="C107" s="11" t="s">
        <v>52</v>
      </c>
      <c r="D107" s="12">
        <v>63.4</v>
      </c>
      <c r="E107">
        <v>945</v>
      </c>
      <c r="F107">
        <v>4265</v>
      </c>
      <c r="G107">
        <v>26031</v>
      </c>
      <c r="H107">
        <f>SUM(Table1[[#This Row],[Data In]:[Data Out]])</f>
        <v>5210</v>
      </c>
      <c r="I107" s="12">
        <f>MIN(Table1[Avg. Bandwidth])</f>
        <v>8.3000000000000007</v>
      </c>
      <c r="J107">
        <f>MAX(Table1[Avg. Bandwidth])</f>
        <v>273.3</v>
      </c>
      <c r="K107"/>
      <c r="L107"/>
      <c r="M107"/>
      <c r="N107"/>
      <c r="O107"/>
      <c r="P107"/>
      <c r="Q107"/>
      <c r="R107"/>
      <c r="S107"/>
      <c r="T107"/>
    </row>
    <row r="108" spans="1:20" x14ac:dyDescent="0.3">
      <c r="A108" s="43">
        <v>41470</v>
      </c>
      <c r="B108" s="10" t="s">
        <v>55</v>
      </c>
      <c r="C108" s="11" t="s">
        <v>52</v>
      </c>
      <c r="D108" s="12">
        <v>14.5</v>
      </c>
      <c r="E108">
        <v>950</v>
      </c>
      <c r="F108">
        <v>1654</v>
      </c>
      <c r="G108">
        <v>8297</v>
      </c>
      <c r="H108">
        <f>SUM(Table1[[#This Row],[Data In]:[Data Out]])</f>
        <v>2604</v>
      </c>
      <c r="I108" s="12">
        <f>MIN(Table1[Avg. Bandwidth])</f>
        <v>8.3000000000000007</v>
      </c>
      <c r="J108">
        <f>MAX(Table1[Avg. Bandwidth])</f>
        <v>273.3</v>
      </c>
      <c r="K108"/>
      <c r="L108"/>
      <c r="M108"/>
      <c r="N108"/>
      <c r="O108"/>
      <c r="P108"/>
      <c r="Q108"/>
      <c r="R108"/>
      <c r="S108"/>
      <c r="T108"/>
    </row>
    <row r="109" spans="1:20" x14ac:dyDescent="0.3">
      <c r="A109" s="43">
        <v>41470</v>
      </c>
      <c r="B109" s="10" t="s">
        <v>56</v>
      </c>
      <c r="C109" s="11" t="s">
        <v>52</v>
      </c>
      <c r="D109" s="12">
        <v>90.2</v>
      </c>
      <c r="E109">
        <v>891</v>
      </c>
      <c r="F109">
        <v>10346</v>
      </c>
      <c r="G109">
        <v>47510</v>
      </c>
      <c r="H109">
        <f>SUM(Table1[[#This Row],[Data In]:[Data Out]])</f>
        <v>11237</v>
      </c>
      <c r="I109" s="12">
        <f>MIN(Table1[Avg. Bandwidth])</f>
        <v>8.3000000000000007</v>
      </c>
      <c r="J109">
        <f>MAX(Table1[Avg. Bandwidth])</f>
        <v>273.3</v>
      </c>
      <c r="K109"/>
      <c r="L109"/>
      <c r="M109"/>
      <c r="N109"/>
      <c r="O109"/>
      <c r="P109"/>
      <c r="Q109"/>
      <c r="R109"/>
      <c r="S109"/>
      <c r="T109"/>
    </row>
    <row r="110" spans="1:20" x14ac:dyDescent="0.3">
      <c r="A110" s="43">
        <v>41470</v>
      </c>
      <c r="B110" s="10" t="s">
        <v>57</v>
      </c>
      <c r="C110" s="11" t="s">
        <v>52</v>
      </c>
      <c r="D110" s="12">
        <v>160.4</v>
      </c>
      <c r="E110">
        <v>2416</v>
      </c>
      <c r="F110">
        <v>16472</v>
      </c>
      <c r="G110">
        <v>73406</v>
      </c>
      <c r="H110">
        <f>SUM(Table1[[#This Row],[Data In]:[Data Out]])</f>
        <v>18888</v>
      </c>
      <c r="I110" s="12">
        <f>MIN(Table1[Avg. Bandwidth])</f>
        <v>8.3000000000000007</v>
      </c>
      <c r="J110">
        <f>MAX(Table1[Avg. Bandwidth])</f>
        <v>273.3</v>
      </c>
      <c r="K110"/>
      <c r="L110"/>
      <c r="M110"/>
      <c r="N110"/>
      <c r="O110"/>
      <c r="P110"/>
      <c r="Q110"/>
      <c r="R110"/>
      <c r="S110"/>
      <c r="T110"/>
    </row>
    <row r="111" spans="1:20" x14ac:dyDescent="0.3">
      <c r="A111" s="43">
        <v>41477</v>
      </c>
      <c r="B111" s="10" t="s">
        <v>50</v>
      </c>
      <c r="C111" s="11" t="s">
        <v>52</v>
      </c>
      <c r="D111" s="12">
        <v>54.7</v>
      </c>
      <c r="E111">
        <v>410</v>
      </c>
      <c r="F111">
        <v>3014</v>
      </c>
      <c r="G111">
        <v>9451</v>
      </c>
      <c r="H111">
        <f>SUM(Table1[[#This Row],[Data In]:[Data Out]])</f>
        <v>3424</v>
      </c>
      <c r="I111" s="12">
        <f>MIN(Table1[Avg. Bandwidth])</f>
        <v>8.3000000000000007</v>
      </c>
      <c r="J111">
        <f>MAX(Table1[Avg. Bandwidth])</f>
        <v>273.3</v>
      </c>
      <c r="K111"/>
      <c r="L111"/>
      <c r="M111"/>
      <c r="N111"/>
      <c r="O111"/>
      <c r="P111"/>
      <c r="Q111"/>
      <c r="R111"/>
      <c r="S111"/>
      <c r="T111"/>
    </row>
    <row r="112" spans="1:20" x14ac:dyDescent="0.3">
      <c r="A112" s="43">
        <v>41477</v>
      </c>
      <c r="B112" s="10" t="s">
        <v>54</v>
      </c>
      <c r="C112" s="11" t="s">
        <v>52</v>
      </c>
      <c r="D112" s="12">
        <v>62.4</v>
      </c>
      <c r="E112">
        <v>968</v>
      </c>
      <c r="F112">
        <v>4168</v>
      </c>
      <c r="G112">
        <v>24654</v>
      </c>
      <c r="H112">
        <f>SUM(Table1[[#This Row],[Data In]:[Data Out]])</f>
        <v>5136</v>
      </c>
      <c r="I112" s="12">
        <f>MIN(Table1[Avg. Bandwidth])</f>
        <v>8.3000000000000007</v>
      </c>
      <c r="J112">
        <f>MAX(Table1[Avg. Bandwidth])</f>
        <v>273.3</v>
      </c>
      <c r="K112"/>
      <c r="L112"/>
      <c r="M112"/>
      <c r="N112"/>
      <c r="O112"/>
      <c r="P112"/>
      <c r="Q112"/>
      <c r="R112"/>
      <c r="S112"/>
      <c r="T112"/>
    </row>
    <row r="113" spans="1:20" x14ac:dyDescent="0.3">
      <c r="A113" s="43">
        <v>41477</v>
      </c>
      <c r="B113" s="10" t="s">
        <v>55</v>
      </c>
      <c r="C113" s="11" t="s">
        <v>52</v>
      </c>
      <c r="D113" s="12">
        <v>16</v>
      </c>
      <c r="E113">
        <v>1002</v>
      </c>
      <c r="F113">
        <v>1620</v>
      </c>
      <c r="G113">
        <v>8165</v>
      </c>
      <c r="H113">
        <f>SUM(Table1[[#This Row],[Data In]:[Data Out]])</f>
        <v>2622</v>
      </c>
      <c r="I113" s="12">
        <f>MIN(Table1[Avg. Bandwidth])</f>
        <v>8.3000000000000007</v>
      </c>
      <c r="J113">
        <f>MAX(Table1[Avg. Bandwidth])</f>
        <v>273.3</v>
      </c>
      <c r="K113"/>
      <c r="L113"/>
      <c r="M113"/>
      <c r="N113"/>
      <c r="O113"/>
      <c r="P113"/>
      <c r="Q113"/>
      <c r="R113"/>
      <c r="S113"/>
      <c r="T113"/>
    </row>
    <row r="114" spans="1:20" x14ac:dyDescent="0.3">
      <c r="A114" s="43">
        <v>41477</v>
      </c>
      <c r="B114" s="10" t="s">
        <v>56</v>
      </c>
      <c r="C114" s="11" t="s">
        <v>52</v>
      </c>
      <c r="D114" s="12">
        <v>96.4</v>
      </c>
      <c r="E114">
        <v>1054</v>
      </c>
      <c r="F114">
        <v>12374</v>
      </c>
      <c r="G114">
        <v>49510</v>
      </c>
      <c r="H114">
        <f>SUM(Table1[[#This Row],[Data In]:[Data Out]])</f>
        <v>13428</v>
      </c>
      <c r="I114" s="12">
        <f>MIN(Table1[Avg. Bandwidth])</f>
        <v>8.3000000000000007</v>
      </c>
      <c r="J114">
        <f>MAX(Table1[Avg. Bandwidth])</f>
        <v>273.3</v>
      </c>
      <c r="K114"/>
      <c r="L114"/>
      <c r="M114"/>
      <c r="N114"/>
      <c r="O114"/>
      <c r="P114"/>
      <c r="Q114"/>
      <c r="R114"/>
      <c r="S114"/>
      <c r="T114"/>
    </row>
    <row r="115" spans="1:20" x14ac:dyDescent="0.3">
      <c r="A115" s="43">
        <v>41477</v>
      </c>
      <c r="B115" s="10" t="s">
        <v>57</v>
      </c>
      <c r="C115" s="11" t="s">
        <v>52</v>
      </c>
      <c r="D115" s="12">
        <v>187.1</v>
      </c>
      <c r="E115">
        <v>2654</v>
      </c>
      <c r="F115">
        <v>19806</v>
      </c>
      <c r="G115">
        <v>75314</v>
      </c>
      <c r="H115">
        <f>SUM(Table1[[#This Row],[Data In]:[Data Out]])</f>
        <v>22460</v>
      </c>
      <c r="I115" s="12">
        <f>MIN(Table1[Avg. Bandwidth])</f>
        <v>8.3000000000000007</v>
      </c>
      <c r="J115">
        <f>MAX(Table1[Avg. Bandwidth])</f>
        <v>273.3</v>
      </c>
      <c r="K115"/>
      <c r="L115"/>
      <c r="M115"/>
      <c r="N115"/>
      <c r="O115"/>
      <c r="P115"/>
      <c r="Q115"/>
      <c r="R115"/>
      <c r="S115"/>
      <c r="T115"/>
    </row>
    <row r="116" spans="1:20" x14ac:dyDescent="0.3">
      <c r="A116" s="43">
        <v>41484</v>
      </c>
      <c r="B116" s="10" t="s">
        <v>50</v>
      </c>
      <c r="C116" s="11" t="s">
        <v>52</v>
      </c>
      <c r="D116" s="12">
        <v>51.7</v>
      </c>
      <c r="E116">
        <v>401</v>
      </c>
      <c r="F116">
        <v>2797</v>
      </c>
      <c r="G116">
        <v>9013</v>
      </c>
      <c r="H116">
        <f>SUM(Table1[[#This Row],[Data In]:[Data Out]])</f>
        <v>3198</v>
      </c>
      <c r="I116" s="12">
        <f>MIN(Table1[Avg. Bandwidth])</f>
        <v>8.3000000000000007</v>
      </c>
      <c r="J116">
        <f>MAX(Table1[Avg. Bandwidth])</f>
        <v>273.3</v>
      </c>
      <c r="K116"/>
      <c r="L116"/>
      <c r="M116"/>
      <c r="N116"/>
      <c r="O116"/>
      <c r="P116"/>
      <c r="Q116"/>
      <c r="R116"/>
      <c r="S116"/>
      <c r="T116"/>
    </row>
    <row r="117" spans="1:20" x14ac:dyDescent="0.3">
      <c r="A117" s="43">
        <v>41484</v>
      </c>
      <c r="B117" s="10" t="s">
        <v>54</v>
      </c>
      <c r="C117" s="11" t="s">
        <v>52</v>
      </c>
      <c r="D117" s="12">
        <v>61.3</v>
      </c>
      <c r="E117">
        <v>1018</v>
      </c>
      <c r="F117">
        <v>5129</v>
      </c>
      <c r="G117">
        <v>26115</v>
      </c>
      <c r="H117">
        <f>SUM(Table1[[#This Row],[Data In]:[Data Out]])</f>
        <v>6147</v>
      </c>
      <c r="I117" s="12">
        <f>MIN(Table1[Avg. Bandwidth])</f>
        <v>8.3000000000000007</v>
      </c>
      <c r="J117">
        <f>MAX(Table1[Avg. Bandwidth])</f>
        <v>273.3</v>
      </c>
      <c r="K117"/>
      <c r="L117"/>
      <c r="M117"/>
      <c r="N117"/>
      <c r="O117"/>
      <c r="P117"/>
      <c r="Q117"/>
      <c r="R117"/>
      <c r="S117"/>
      <c r="T117"/>
    </row>
    <row r="118" spans="1:20" x14ac:dyDescent="0.3">
      <c r="A118" s="43">
        <v>41484</v>
      </c>
      <c r="B118" s="10" t="s">
        <v>55</v>
      </c>
      <c r="C118" s="11" t="s">
        <v>52</v>
      </c>
      <c r="D118" s="12">
        <v>15.4</v>
      </c>
      <c r="E118">
        <v>995</v>
      </c>
      <c r="F118">
        <v>4063</v>
      </c>
      <c r="G118">
        <v>8004</v>
      </c>
      <c r="H118">
        <f>SUM(Table1[[#This Row],[Data In]:[Data Out]])</f>
        <v>5058</v>
      </c>
      <c r="I118" s="12">
        <f>MIN(Table1[Avg. Bandwidth])</f>
        <v>8.3000000000000007</v>
      </c>
      <c r="J118">
        <f>MAX(Table1[Avg. Bandwidth])</f>
        <v>273.3</v>
      </c>
      <c r="K118"/>
      <c r="L118"/>
      <c r="M118"/>
      <c r="N118"/>
      <c r="O118"/>
      <c r="P118"/>
      <c r="Q118"/>
      <c r="R118"/>
      <c r="S118"/>
      <c r="T118"/>
    </row>
    <row r="119" spans="1:20" x14ac:dyDescent="0.3">
      <c r="A119" s="43">
        <v>41484</v>
      </c>
      <c r="B119" s="10" t="s">
        <v>56</v>
      </c>
      <c r="C119" s="11" t="s">
        <v>52</v>
      </c>
      <c r="D119" s="12">
        <v>96.7</v>
      </c>
      <c r="E119">
        <v>1117</v>
      </c>
      <c r="F119">
        <v>13369</v>
      </c>
      <c r="G119">
        <v>50231</v>
      </c>
      <c r="H119">
        <f>SUM(Table1[[#This Row],[Data In]:[Data Out]])</f>
        <v>14486</v>
      </c>
      <c r="I119" s="12">
        <f>MIN(Table1[Avg. Bandwidth])</f>
        <v>8.3000000000000007</v>
      </c>
      <c r="J119">
        <f>MAX(Table1[Avg. Bandwidth])</f>
        <v>273.3</v>
      </c>
      <c r="K119"/>
      <c r="L119"/>
      <c r="M119"/>
      <c r="N119"/>
      <c r="O119"/>
      <c r="P119"/>
      <c r="Q119"/>
      <c r="R119"/>
      <c r="S119"/>
      <c r="T119"/>
    </row>
    <row r="120" spans="1:20" x14ac:dyDescent="0.3">
      <c r="A120" s="43">
        <v>41484</v>
      </c>
      <c r="B120" s="10" t="s">
        <v>57</v>
      </c>
      <c r="C120" s="11" t="s">
        <v>52</v>
      </c>
      <c r="D120" s="12">
        <v>179</v>
      </c>
      <c r="E120">
        <v>2555</v>
      </c>
      <c r="F120">
        <v>18034</v>
      </c>
      <c r="G120">
        <v>74985</v>
      </c>
      <c r="H120">
        <f>SUM(Table1[[#This Row],[Data In]:[Data Out]])</f>
        <v>20589</v>
      </c>
      <c r="I120" s="12">
        <f>MIN(Table1[Avg. Bandwidth])</f>
        <v>8.3000000000000007</v>
      </c>
      <c r="J120">
        <f>MAX(Table1[Avg. Bandwidth])</f>
        <v>273.3</v>
      </c>
      <c r="K120"/>
      <c r="L120"/>
      <c r="M120"/>
      <c r="N120"/>
      <c r="O120"/>
      <c r="P120"/>
      <c r="Q120"/>
      <c r="R120"/>
      <c r="S120"/>
      <c r="T120"/>
    </row>
    <row r="121" spans="1:20" x14ac:dyDescent="0.3">
      <c r="A121" s="43">
        <v>41491</v>
      </c>
      <c r="B121" s="10" t="s">
        <v>50</v>
      </c>
      <c r="C121" s="11" t="s">
        <v>52</v>
      </c>
      <c r="D121" s="12">
        <v>50.3</v>
      </c>
      <c r="E121">
        <v>389</v>
      </c>
      <c r="F121">
        <v>2631</v>
      </c>
      <c r="G121">
        <v>8950</v>
      </c>
      <c r="H121">
        <f>SUM(Table1[[#This Row],[Data In]:[Data Out]])</f>
        <v>3020</v>
      </c>
      <c r="I121" s="12">
        <f>MIN(Table1[Avg. Bandwidth])</f>
        <v>8.3000000000000007</v>
      </c>
      <c r="J121">
        <f>MAX(Table1[Avg. Bandwidth])</f>
        <v>273.3</v>
      </c>
      <c r="K121"/>
      <c r="L121"/>
      <c r="M121"/>
      <c r="N121"/>
      <c r="O121"/>
      <c r="P121"/>
      <c r="Q121"/>
      <c r="R121"/>
      <c r="S121"/>
      <c r="T121"/>
    </row>
    <row r="122" spans="1:20" x14ac:dyDescent="0.3">
      <c r="A122" s="43">
        <v>41491</v>
      </c>
      <c r="B122" s="10" t="s">
        <v>54</v>
      </c>
      <c r="C122" s="11" t="s">
        <v>52</v>
      </c>
      <c r="D122" s="12">
        <v>62</v>
      </c>
      <c r="E122">
        <v>1095</v>
      </c>
      <c r="F122">
        <v>5203</v>
      </c>
      <c r="G122">
        <v>27891</v>
      </c>
      <c r="H122">
        <f>SUM(Table1[[#This Row],[Data In]:[Data Out]])</f>
        <v>6298</v>
      </c>
      <c r="I122" s="12">
        <f>MIN(Table1[Avg. Bandwidth])</f>
        <v>8.3000000000000007</v>
      </c>
      <c r="J122">
        <f>MAX(Table1[Avg. Bandwidth])</f>
        <v>273.3</v>
      </c>
      <c r="K122"/>
      <c r="L122"/>
      <c r="M122"/>
      <c r="N122"/>
      <c r="O122"/>
      <c r="P122"/>
      <c r="Q122"/>
      <c r="R122"/>
      <c r="S122"/>
      <c r="T122"/>
    </row>
    <row r="123" spans="1:20" x14ac:dyDescent="0.3">
      <c r="A123" s="43">
        <v>41491</v>
      </c>
      <c r="B123" s="10" t="s">
        <v>55</v>
      </c>
      <c r="C123" s="11" t="s">
        <v>52</v>
      </c>
      <c r="D123" s="12">
        <v>12.8</v>
      </c>
      <c r="E123">
        <v>846</v>
      </c>
      <c r="F123">
        <v>3760</v>
      </c>
      <c r="G123">
        <v>7540</v>
      </c>
      <c r="H123">
        <f>SUM(Table1[[#This Row],[Data In]:[Data Out]])</f>
        <v>4606</v>
      </c>
      <c r="I123" s="12">
        <f>MIN(Table1[Avg. Bandwidth])</f>
        <v>8.3000000000000007</v>
      </c>
      <c r="J123">
        <f>MAX(Table1[Avg. Bandwidth])</f>
        <v>273.3</v>
      </c>
      <c r="K123"/>
      <c r="L123"/>
      <c r="M123"/>
      <c r="N123"/>
      <c r="O123"/>
      <c r="P123"/>
      <c r="Q123"/>
      <c r="R123"/>
      <c r="S123"/>
      <c r="T123"/>
    </row>
    <row r="124" spans="1:20" x14ac:dyDescent="0.3">
      <c r="A124" s="43">
        <v>41491</v>
      </c>
      <c r="B124" s="10" t="s">
        <v>56</v>
      </c>
      <c r="C124" s="11" t="s">
        <v>52</v>
      </c>
      <c r="D124" s="12">
        <v>100.4</v>
      </c>
      <c r="E124">
        <v>1234</v>
      </c>
      <c r="F124">
        <v>14623</v>
      </c>
      <c r="G124">
        <v>52364</v>
      </c>
      <c r="H124">
        <f>SUM(Table1[[#This Row],[Data In]:[Data Out]])</f>
        <v>15857</v>
      </c>
      <c r="I124" s="12">
        <f>MIN(Table1[Avg. Bandwidth])</f>
        <v>8.3000000000000007</v>
      </c>
      <c r="J124">
        <f>MAX(Table1[Avg. Bandwidth])</f>
        <v>273.3</v>
      </c>
      <c r="K124"/>
      <c r="L124"/>
      <c r="M124"/>
      <c r="N124"/>
      <c r="O124"/>
      <c r="P124"/>
      <c r="Q124"/>
      <c r="R124"/>
      <c r="S124"/>
      <c r="T124"/>
    </row>
    <row r="125" spans="1:20" x14ac:dyDescent="0.3">
      <c r="A125" s="43">
        <v>41491</v>
      </c>
      <c r="B125" s="10" t="s">
        <v>57</v>
      </c>
      <c r="C125" s="11" t="s">
        <v>52</v>
      </c>
      <c r="D125" s="12">
        <v>161.1</v>
      </c>
      <c r="E125">
        <v>1708</v>
      </c>
      <c r="F125">
        <v>16801</v>
      </c>
      <c r="G125">
        <v>73691</v>
      </c>
      <c r="H125">
        <f>SUM(Table1[[#This Row],[Data In]:[Data Out]])</f>
        <v>18509</v>
      </c>
      <c r="I125" s="12">
        <f>MIN(Table1[Avg. Bandwidth])</f>
        <v>8.3000000000000007</v>
      </c>
      <c r="J125">
        <f>MAX(Table1[Avg. Bandwidth])</f>
        <v>273.3</v>
      </c>
      <c r="K125"/>
      <c r="L125"/>
      <c r="M125"/>
      <c r="N125"/>
      <c r="O125"/>
      <c r="P125"/>
      <c r="Q125"/>
      <c r="R125"/>
      <c r="S125"/>
      <c r="T125"/>
    </row>
    <row r="126" spans="1:20" x14ac:dyDescent="0.3">
      <c r="A126" s="43">
        <v>41498</v>
      </c>
      <c r="B126" s="10" t="s">
        <v>50</v>
      </c>
      <c r="C126" s="11" t="s">
        <v>52</v>
      </c>
      <c r="D126" s="12">
        <v>49.8</v>
      </c>
      <c r="E126">
        <v>367</v>
      </c>
      <c r="F126">
        <v>2468</v>
      </c>
      <c r="G126">
        <v>8801</v>
      </c>
      <c r="H126">
        <f>SUM(Table1[[#This Row],[Data In]:[Data Out]])</f>
        <v>2835</v>
      </c>
      <c r="I126" s="12">
        <f>MIN(Table1[Avg. Bandwidth])</f>
        <v>8.3000000000000007</v>
      </c>
      <c r="J126">
        <f>MAX(Table1[Avg. Bandwidth])</f>
        <v>273.3</v>
      </c>
      <c r="K126"/>
      <c r="L126"/>
      <c r="M126"/>
      <c r="N126"/>
      <c r="O126"/>
      <c r="P126"/>
      <c r="Q126"/>
      <c r="R126"/>
      <c r="S126"/>
      <c r="T126"/>
    </row>
    <row r="127" spans="1:20" x14ac:dyDescent="0.3">
      <c r="A127" s="43">
        <v>41498</v>
      </c>
      <c r="B127" s="10" t="s">
        <v>54</v>
      </c>
      <c r="C127" s="11" t="s">
        <v>52</v>
      </c>
      <c r="D127" s="12">
        <v>60.4</v>
      </c>
      <c r="E127">
        <v>905</v>
      </c>
      <c r="F127">
        <v>5011</v>
      </c>
      <c r="G127">
        <v>26964</v>
      </c>
      <c r="H127">
        <f>SUM(Table1[[#This Row],[Data In]:[Data Out]])</f>
        <v>5916</v>
      </c>
      <c r="I127" s="12">
        <f>MIN(Table1[Avg. Bandwidth])</f>
        <v>8.3000000000000007</v>
      </c>
      <c r="J127">
        <f>MAX(Table1[Avg. Bandwidth])</f>
        <v>273.3</v>
      </c>
      <c r="K127"/>
      <c r="L127"/>
      <c r="M127"/>
      <c r="N127"/>
      <c r="O127"/>
      <c r="P127"/>
      <c r="Q127"/>
      <c r="R127"/>
      <c r="S127"/>
      <c r="T127"/>
    </row>
    <row r="128" spans="1:20" x14ac:dyDescent="0.3">
      <c r="A128" s="43">
        <v>41498</v>
      </c>
      <c r="B128" s="10" t="s">
        <v>55</v>
      </c>
      <c r="C128" s="11" t="s">
        <v>52</v>
      </c>
      <c r="D128" s="12">
        <v>11.2</v>
      </c>
      <c r="E128">
        <v>801</v>
      </c>
      <c r="F128">
        <v>3465</v>
      </c>
      <c r="G128">
        <v>7315</v>
      </c>
      <c r="H128">
        <f>SUM(Table1[[#This Row],[Data In]:[Data Out]])</f>
        <v>4266</v>
      </c>
      <c r="I128" s="12">
        <f>MIN(Table1[Avg. Bandwidth])</f>
        <v>8.3000000000000007</v>
      </c>
      <c r="J128">
        <f>MAX(Table1[Avg. Bandwidth])</f>
        <v>273.3</v>
      </c>
      <c r="K128"/>
      <c r="L128"/>
      <c r="M128"/>
      <c r="N128"/>
      <c r="O128"/>
      <c r="P128"/>
      <c r="Q128"/>
      <c r="R128"/>
      <c r="S128"/>
      <c r="T128"/>
    </row>
    <row r="129" spans="1:20" x14ac:dyDescent="0.3">
      <c r="A129" s="43">
        <v>41498</v>
      </c>
      <c r="B129" s="10" t="s">
        <v>56</v>
      </c>
      <c r="C129" s="11" t="s">
        <v>52</v>
      </c>
      <c r="D129" s="12">
        <v>103.4</v>
      </c>
      <c r="E129">
        <v>1194</v>
      </c>
      <c r="F129">
        <v>14230</v>
      </c>
      <c r="G129">
        <v>51978</v>
      </c>
      <c r="H129">
        <f>SUM(Table1[[#This Row],[Data In]:[Data Out]])</f>
        <v>15424</v>
      </c>
      <c r="I129" s="12">
        <f>MIN(Table1[Avg. Bandwidth])</f>
        <v>8.3000000000000007</v>
      </c>
      <c r="J129">
        <f>MAX(Table1[Avg. Bandwidth])</f>
        <v>273.3</v>
      </c>
      <c r="K129"/>
      <c r="L129"/>
      <c r="M129"/>
      <c r="N129"/>
      <c r="O129"/>
      <c r="P129"/>
      <c r="Q129"/>
      <c r="R129"/>
      <c r="S129"/>
      <c r="T129"/>
    </row>
    <row r="130" spans="1:20" x14ac:dyDescent="0.3">
      <c r="A130" s="43">
        <v>41498</v>
      </c>
      <c r="B130" s="10" t="s">
        <v>57</v>
      </c>
      <c r="C130" s="11" t="s">
        <v>52</v>
      </c>
      <c r="D130" s="12">
        <v>154.6</v>
      </c>
      <c r="E130">
        <v>1620</v>
      </c>
      <c r="F130">
        <v>14999</v>
      </c>
      <c r="G130">
        <v>71685</v>
      </c>
      <c r="H130">
        <f>SUM(Table1[[#This Row],[Data In]:[Data Out]])</f>
        <v>16619</v>
      </c>
      <c r="I130" s="12">
        <f>MIN(Table1[Avg. Bandwidth])</f>
        <v>8.3000000000000007</v>
      </c>
      <c r="J130">
        <f>MAX(Table1[Avg. Bandwidth])</f>
        <v>273.3</v>
      </c>
      <c r="K130"/>
      <c r="L130"/>
      <c r="M130"/>
      <c r="N130"/>
      <c r="O130"/>
      <c r="P130"/>
      <c r="Q130"/>
      <c r="R130"/>
      <c r="S130"/>
      <c r="T130"/>
    </row>
    <row r="131" spans="1:20" x14ac:dyDescent="0.3">
      <c r="A131" s="43">
        <v>41505</v>
      </c>
      <c r="B131" s="10" t="s">
        <v>50</v>
      </c>
      <c r="C131" s="11" t="s">
        <v>52</v>
      </c>
      <c r="D131" s="12">
        <v>48.3</v>
      </c>
      <c r="E131">
        <v>331</v>
      </c>
      <c r="F131">
        <v>2234</v>
      </c>
      <c r="G131">
        <v>8601</v>
      </c>
      <c r="H131">
        <f>SUM(Table1[[#This Row],[Data In]:[Data Out]])</f>
        <v>2565</v>
      </c>
      <c r="I131" s="12">
        <f>MIN(Table1[Avg. Bandwidth])</f>
        <v>8.3000000000000007</v>
      </c>
      <c r="J131">
        <f>MAX(Table1[Avg. Bandwidth])</f>
        <v>273.3</v>
      </c>
      <c r="K131"/>
      <c r="L131"/>
      <c r="M131"/>
      <c r="N131"/>
      <c r="O131"/>
      <c r="P131"/>
      <c r="Q131"/>
      <c r="R131"/>
      <c r="S131"/>
      <c r="T131"/>
    </row>
    <row r="132" spans="1:20" x14ac:dyDescent="0.3">
      <c r="A132" s="43">
        <v>41505</v>
      </c>
      <c r="B132" s="10" t="s">
        <v>54</v>
      </c>
      <c r="C132" s="11" t="s">
        <v>52</v>
      </c>
      <c r="D132" s="12">
        <v>58.1</v>
      </c>
      <c r="E132">
        <v>881</v>
      </c>
      <c r="F132">
        <v>4876</v>
      </c>
      <c r="G132">
        <v>26038</v>
      </c>
      <c r="H132">
        <f>SUM(Table1[[#This Row],[Data In]:[Data Out]])</f>
        <v>5757</v>
      </c>
      <c r="I132" s="12">
        <f>MIN(Table1[Avg. Bandwidth])</f>
        <v>8.3000000000000007</v>
      </c>
      <c r="J132">
        <f>MAX(Table1[Avg. Bandwidth])</f>
        <v>273.3</v>
      </c>
      <c r="K132"/>
      <c r="L132"/>
      <c r="M132"/>
      <c r="N132"/>
      <c r="O132"/>
      <c r="P132"/>
      <c r="Q132"/>
      <c r="R132"/>
      <c r="S132"/>
      <c r="T132"/>
    </row>
    <row r="133" spans="1:20" x14ac:dyDescent="0.3">
      <c r="A133" s="43">
        <v>41505</v>
      </c>
      <c r="B133" s="10" t="s">
        <v>55</v>
      </c>
      <c r="C133" s="11" t="s">
        <v>52</v>
      </c>
      <c r="D133" s="12">
        <v>10.4</v>
      </c>
      <c r="E133">
        <v>786</v>
      </c>
      <c r="F133">
        <v>3321</v>
      </c>
      <c r="G133">
        <v>7165</v>
      </c>
      <c r="H133">
        <f>SUM(Table1[[#This Row],[Data In]:[Data Out]])</f>
        <v>4107</v>
      </c>
      <c r="I133" s="12">
        <f>MIN(Table1[Avg. Bandwidth])</f>
        <v>8.3000000000000007</v>
      </c>
      <c r="J133">
        <f>MAX(Table1[Avg. Bandwidth])</f>
        <v>273.3</v>
      </c>
      <c r="K133"/>
      <c r="L133"/>
      <c r="M133"/>
      <c r="N133"/>
      <c r="O133"/>
      <c r="P133"/>
      <c r="Q133"/>
      <c r="R133"/>
      <c r="S133"/>
      <c r="T133"/>
    </row>
    <row r="134" spans="1:20" x14ac:dyDescent="0.3">
      <c r="A134" s="43">
        <v>41505</v>
      </c>
      <c r="B134" s="10" t="s">
        <v>56</v>
      </c>
      <c r="C134" s="11" t="s">
        <v>52</v>
      </c>
      <c r="D134" s="12">
        <v>106.8</v>
      </c>
      <c r="E134">
        <v>1354</v>
      </c>
      <c r="F134">
        <v>16352</v>
      </c>
      <c r="G134">
        <v>53590</v>
      </c>
      <c r="H134">
        <f>SUM(Table1[[#This Row],[Data In]:[Data Out]])</f>
        <v>17706</v>
      </c>
      <c r="I134" s="12">
        <f>MIN(Table1[Avg. Bandwidth])</f>
        <v>8.3000000000000007</v>
      </c>
      <c r="J134">
        <f>MAX(Table1[Avg. Bandwidth])</f>
        <v>273.3</v>
      </c>
      <c r="K134"/>
      <c r="L134"/>
      <c r="M134"/>
      <c r="N134"/>
      <c r="O134"/>
      <c r="P134"/>
      <c r="Q134"/>
      <c r="R134"/>
      <c r="S134"/>
      <c r="T134"/>
    </row>
    <row r="135" spans="1:20" x14ac:dyDescent="0.3">
      <c r="A135" s="43">
        <v>41505</v>
      </c>
      <c r="B135" s="10" t="s">
        <v>57</v>
      </c>
      <c r="C135" s="11" t="s">
        <v>52</v>
      </c>
      <c r="D135" s="12">
        <v>153.4</v>
      </c>
      <c r="E135">
        <v>1535</v>
      </c>
      <c r="F135">
        <v>14235</v>
      </c>
      <c r="G135">
        <v>71044</v>
      </c>
      <c r="H135">
        <f>SUM(Table1[[#This Row],[Data In]:[Data Out]])</f>
        <v>15770</v>
      </c>
      <c r="I135" s="12">
        <f>MIN(Table1[Avg. Bandwidth])</f>
        <v>8.3000000000000007</v>
      </c>
      <c r="J135">
        <f>MAX(Table1[Avg. Bandwidth])</f>
        <v>273.3</v>
      </c>
      <c r="K135"/>
      <c r="L135"/>
      <c r="M135"/>
      <c r="N135"/>
      <c r="O135"/>
      <c r="P135"/>
      <c r="Q135"/>
      <c r="R135"/>
      <c r="S135"/>
      <c r="T135"/>
    </row>
    <row r="136" spans="1:20" x14ac:dyDescent="0.3">
      <c r="A136" s="43">
        <v>41512</v>
      </c>
      <c r="B136" s="10" t="s">
        <v>50</v>
      </c>
      <c r="C136" s="11" t="s">
        <v>52</v>
      </c>
      <c r="D136" s="12">
        <v>50.1</v>
      </c>
      <c r="E136">
        <v>352</v>
      </c>
      <c r="F136">
        <v>2368</v>
      </c>
      <c r="G136">
        <v>8840</v>
      </c>
      <c r="H136">
        <f>SUM(Table1[[#This Row],[Data In]:[Data Out]])</f>
        <v>2720</v>
      </c>
      <c r="I136" s="12">
        <f>MIN(Table1[Avg. Bandwidth])</f>
        <v>8.3000000000000007</v>
      </c>
      <c r="J136">
        <f>MAX(Table1[Avg. Bandwidth])</f>
        <v>273.3</v>
      </c>
      <c r="K136"/>
      <c r="L136"/>
      <c r="M136"/>
      <c r="N136"/>
      <c r="O136"/>
      <c r="P136"/>
      <c r="Q136"/>
      <c r="R136"/>
      <c r="S136"/>
      <c r="T136"/>
    </row>
    <row r="137" spans="1:20" x14ac:dyDescent="0.3">
      <c r="A137" s="43">
        <v>41512</v>
      </c>
      <c r="B137" s="10" t="s">
        <v>54</v>
      </c>
      <c r="C137" s="11" t="s">
        <v>52</v>
      </c>
      <c r="D137" s="12">
        <v>59.3</v>
      </c>
      <c r="E137">
        <v>905</v>
      </c>
      <c r="F137">
        <v>5033</v>
      </c>
      <c r="G137">
        <v>27946</v>
      </c>
      <c r="H137">
        <f>SUM(Table1[[#This Row],[Data In]:[Data Out]])</f>
        <v>5938</v>
      </c>
      <c r="I137" s="12">
        <f>MIN(Table1[Avg. Bandwidth])</f>
        <v>8.3000000000000007</v>
      </c>
      <c r="J137">
        <f>MAX(Table1[Avg. Bandwidth])</f>
        <v>273.3</v>
      </c>
      <c r="K137"/>
      <c r="L137"/>
      <c r="M137"/>
      <c r="N137"/>
      <c r="O137"/>
      <c r="P137"/>
      <c r="Q137"/>
      <c r="R137"/>
      <c r="S137"/>
      <c r="T137"/>
    </row>
    <row r="138" spans="1:20" x14ac:dyDescent="0.3">
      <c r="A138" s="43">
        <v>41512</v>
      </c>
      <c r="B138" s="10" t="s">
        <v>55</v>
      </c>
      <c r="C138" s="11" t="s">
        <v>52</v>
      </c>
      <c r="D138" s="12">
        <v>11.1</v>
      </c>
      <c r="E138">
        <v>833</v>
      </c>
      <c r="F138">
        <v>5364</v>
      </c>
      <c r="G138">
        <v>27841</v>
      </c>
      <c r="H138">
        <f>SUM(Table1[[#This Row],[Data In]:[Data Out]])</f>
        <v>6197</v>
      </c>
      <c r="I138" s="12">
        <f>MIN(Table1[Avg. Bandwidth])</f>
        <v>8.3000000000000007</v>
      </c>
      <c r="J138">
        <f>MAX(Table1[Avg. Bandwidth])</f>
        <v>273.3</v>
      </c>
      <c r="K138"/>
      <c r="L138"/>
      <c r="M138"/>
      <c r="N138"/>
      <c r="O138"/>
      <c r="P138"/>
      <c r="Q138"/>
      <c r="R138"/>
      <c r="S138"/>
      <c r="T138"/>
    </row>
    <row r="139" spans="1:20" x14ac:dyDescent="0.3">
      <c r="A139" s="43">
        <v>41512</v>
      </c>
      <c r="B139" s="10" t="s">
        <v>56</v>
      </c>
      <c r="C139" s="11" t="s">
        <v>52</v>
      </c>
      <c r="D139" s="12">
        <v>108.6</v>
      </c>
      <c r="E139">
        <v>1563</v>
      </c>
      <c r="F139">
        <v>17350</v>
      </c>
      <c r="G139">
        <v>54356</v>
      </c>
      <c r="H139">
        <f>SUM(Table1[[#This Row],[Data In]:[Data Out]])</f>
        <v>18913</v>
      </c>
      <c r="I139" s="12">
        <f>MIN(Table1[Avg. Bandwidth])</f>
        <v>8.3000000000000007</v>
      </c>
      <c r="J139">
        <f>MAX(Table1[Avg. Bandwidth])</f>
        <v>273.3</v>
      </c>
      <c r="K139"/>
      <c r="L139"/>
      <c r="M139"/>
      <c r="N139"/>
      <c r="O139"/>
      <c r="P139"/>
      <c r="Q139"/>
      <c r="R139"/>
      <c r="S139"/>
      <c r="T139"/>
    </row>
    <row r="140" spans="1:20" ht="16.5" thickBot="1" x14ac:dyDescent="0.35">
      <c r="A140" s="43">
        <v>41512</v>
      </c>
      <c r="B140" s="10" t="s">
        <v>57</v>
      </c>
      <c r="C140" s="11" t="s">
        <v>52</v>
      </c>
      <c r="D140" s="12">
        <v>155.80000000000001</v>
      </c>
      <c r="E140">
        <v>1732</v>
      </c>
      <c r="F140">
        <v>15331</v>
      </c>
      <c r="G140">
        <v>62357</v>
      </c>
      <c r="H140">
        <f>SUM(Table1[[#This Row],[Data In]:[Data Out]])</f>
        <v>17063</v>
      </c>
      <c r="I140" s="12">
        <f>MIN(Table1[Avg. Bandwidth])</f>
        <v>8.3000000000000007</v>
      </c>
      <c r="J140">
        <f>MAX(Table1[Avg. Bandwidth])</f>
        <v>273.3</v>
      </c>
      <c r="K140"/>
      <c r="L140"/>
      <c r="M140"/>
      <c r="N140"/>
      <c r="O140"/>
      <c r="P140"/>
      <c r="Q140"/>
      <c r="R140"/>
      <c r="S140"/>
      <c r="T140"/>
    </row>
    <row r="141" spans="1:20" thickBot="1" x14ac:dyDescent="0.35">
      <c r="A141" s="43" cm="1">
        <f t="array" ref="A141:G145">TRANSPOSE(L40:P46)</f>
        <v>42319</v>
      </c>
      <c r="B141" s="10" t="str">
        <v>Purchasing</v>
      </c>
      <c r="C141" s="11" t="str">
        <v>North</v>
      </c>
      <c r="D141" s="17">
        <v>67.8</v>
      </c>
      <c r="E141" s="16">
        <v>415</v>
      </c>
      <c r="F141" s="16">
        <v>3104</v>
      </c>
      <c r="G141" s="16">
        <v>23456</v>
      </c>
    </row>
    <row r="142" spans="1:20" thickBot="1" x14ac:dyDescent="0.35">
      <c r="A142" s="43">
        <v>42320</v>
      </c>
      <c r="B142" s="10" t="str">
        <v>Accounting</v>
      </c>
      <c r="C142" s="11" t="str">
        <v>South</v>
      </c>
      <c r="D142" s="17">
        <v>88.9</v>
      </c>
      <c r="E142" s="16">
        <v>555</v>
      </c>
      <c r="F142" s="16">
        <v>4125</v>
      </c>
      <c r="G142" s="16">
        <v>21453</v>
      </c>
    </row>
    <row r="143" spans="1:20" thickBot="1" x14ac:dyDescent="0.35">
      <c r="A143" s="43">
        <v>42321</v>
      </c>
      <c r="B143" s="10" t="str">
        <v>Merchandising</v>
      </c>
      <c r="C143" s="11" t="str">
        <v>Central</v>
      </c>
      <c r="D143" s="17">
        <v>98.36</v>
      </c>
      <c r="E143" s="16">
        <v>412</v>
      </c>
      <c r="F143" s="16">
        <v>3421</v>
      </c>
      <c r="G143" s="16">
        <v>19682</v>
      </c>
    </row>
    <row r="144" spans="1:20" thickBot="1" x14ac:dyDescent="0.35">
      <c r="A144" s="43">
        <v>42322</v>
      </c>
      <c r="B144" s="10" t="str">
        <v>Distibution</v>
      </c>
      <c r="C144" s="11" t="str">
        <v>North</v>
      </c>
      <c r="D144" s="17">
        <v>78.25</v>
      </c>
      <c r="E144" s="16">
        <v>541</v>
      </c>
      <c r="F144" s="16">
        <v>5896</v>
      </c>
      <c r="G144" s="16">
        <v>15248</v>
      </c>
    </row>
    <row r="145" spans="1:7" thickBot="1" x14ac:dyDescent="0.35">
      <c r="A145" s="43">
        <v>42323</v>
      </c>
      <c r="B145" s="10" t="str">
        <v>Point of Sale</v>
      </c>
      <c r="C145" s="11" t="str">
        <v>North</v>
      </c>
      <c r="D145" s="17">
        <v>78.77</v>
      </c>
      <c r="E145" s="16">
        <v>987</v>
      </c>
      <c r="F145" s="16">
        <v>4752</v>
      </c>
      <c r="G145" s="16">
        <v>175896</v>
      </c>
    </row>
    <row r="146" spans="1:7" ht="15" x14ac:dyDescent="0.3"/>
    <row r="147" spans="1:7" ht="15" x14ac:dyDescent="0.3"/>
    <row r="148" spans="1:7" ht="15" x14ac:dyDescent="0.3"/>
    <row r="149" spans="1:7" ht="15" x14ac:dyDescent="0.3"/>
    <row r="150" spans="1:7" ht="15" x14ac:dyDescent="0.3"/>
  </sheetData>
  <dataValidations count="1">
    <dataValidation type="list" allowBlank="1" showInputMessage="1" showErrorMessage="1" sqref="C6:C140" xr:uid="{0BEDEE6C-8302-4942-B495-8B859B0114EF}">
      <formula1>"North , South , Central"</formula1>
    </dataValidation>
  </dataValidations>
  <pageMargins left="0.70866141732283472" right="0.70866141732283472" top="0.74803149606299213" bottom="0.74803149606299213" header="0.31496062992125984" footer="0.31496062992125984"/>
  <pageSetup orientation="portrait" r:id="rId1"/>
  <headerFooter>
    <oddHeader>&amp;L&amp;P&amp;RHafiz</oddHeader>
    <oddFooter>&amp;C&amp;D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6">
                <anchor moveWithCells="1">
                  <from>
                    <xdr:col>7</xdr:col>
                    <xdr:colOff>809625</xdr:colOff>
                    <xdr:row>0</xdr:row>
                    <xdr:rowOff>0</xdr:rowOff>
                  </from>
                  <to>
                    <xdr:col>8</xdr:col>
                    <xdr:colOff>447675</xdr:colOff>
                    <xdr:row>2</xdr:row>
                    <xdr:rowOff>180975</xdr:rowOff>
                  </to>
                </anchor>
              </controlPr>
            </control>
          </mc:Choice>
        </mc:AlternateContent>
        <mc:AlternateContent xmlns:mc="http://schemas.openxmlformats.org/markup-compatibility/2006">
          <mc:Choice Requires="x14">
            <control shapeId="1026" r:id="rId5" name="Button 2">
              <controlPr defaultSize="0" print="0" autoFill="0" autoPict="0" macro="[0]!Macro7">
                <anchor moveWithCells="1">
                  <from>
                    <xdr:col>8</xdr:col>
                    <xdr:colOff>638175</xdr:colOff>
                    <xdr:row>0</xdr:row>
                    <xdr:rowOff>0</xdr:rowOff>
                  </from>
                  <to>
                    <xdr:col>9</xdr:col>
                    <xdr:colOff>219075</xdr:colOff>
                    <xdr:row>2</xdr:row>
                    <xdr:rowOff>180975</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32512-EEAD-4720-8119-C034C4E20350}">
  <dimension ref="A1:D43"/>
  <sheetViews>
    <sheetView workbookViewId="0">
      <selection activeCell="G2" sqref="G2"/>
    </sheetView>
  </sheetViews>
  <sheetFormatPr defaultRowHeight="15" x14ac:dyDescent="0.25"/>
  <cols>
    <col min="1" max="1" width="21" customWidth="1"/>
    <col min="2" max="2" width="16.5703125" customWidth="1"/>
    <col min="3" max="3" width="18.7109375" customWidth="1"/>
    <col min="4" max="4" width="16.28515625" customWidth="1"/>
  </cols>
  <sheetData>
    <row r="1" spans="1:4" ht="27" thickBot="1" x14ac:dyDescent="0.45">
      <c r="A1" s="47" t="s">
        <v>64</v>
      </c>
      <c r="B1" s="47"/>
      <c r="C1" s="47"/>
      <c r="D1" s="47"/>
    </row>
    <row r="2" spans="1:4" ht="23.25" x14ac:dyDescent="0.35">
      <c r="A2" s="48" t="str">
        <f>CONCATENATE("Balance Sheet as at ",TEXT(DATE(21,11,1), "dd-mm-yy"))</f>
        <v>Balance Sheet as at 01-11-21</v>
      </c>
      <c r="B2" s="48"/>
      <c r="C2" s="48"/>
      <c r="D2" s="48"/>
    </row>
    <row r="3" spans="1:4" x14ac:dyDescent="0.25">
      <c r="D3" s="21"/>
    </row>
    <row r="4" spans="1:4" ht="18.75" x14ac:dyDescent="0.3">
      <c r="A4" s="44" t="s">
        <v>0</v>
      </c>
      <c r="B4" s="45"/>
      <c r="C4" s="46"/>
      <c r="D4" s="21"/>
    </row>
    <row r="5" spans="1:4" x14ac:dyDescent="0.25">
      <c r="A5" s="23" t="s">
        <v>1</v>
      </c>
      <c r="B5" s="24">
        <v>98765432</v>
      </c>
      <c r="C5" s="23"/>
      <c r="D5" s="21"/>
    </row>
    <row r="6" spans="1:4" x14ac:dyDescent="0.25">
      <c r="A6" s="23" t="s">
        <v>2</v>
      </c>
      <c r="B6" s="24">
        <v>4546464</v>
      </c>
      <c r="C6" s="23"/>
      <c r="D6" s="21"/>
    </row>
    <row r="7" spans="1:4" x14ac:dyDescent="0.25">
      <c r="A7" s="23" t="s">
        <v>3</v>
      </c>
      <c r="B7" s="24">
        <v>20000</v>
      </c>
      <c r="C7" s="23"/>
      <c r="D7" s="21"/>
    </row>
    <row r="8" spans="1:4" x14ac:dyDescent="0.25">
      <c r="A8" s="23" t="s">
        <v>4</v>
      </c>
      <c r="B8" s="24">
        <v>100000</v>
      </c>
      <c r="C8" s="23"/>
    </row>
    <row r="9" spans="1:4" x14ac:dyDescent="0.25">
      <c r="A9" s="23" t="s">
        <v>5</v>
      </c>
      <c r="B9" s="24">
        <v>500000</v>
      </c>
      <c r="C9" s="23"/>
    </row>
    <row r="10" spans="1:4" ht="15.75" thickBot="1" x14ac:dyDescent="0.3">
      <c r="A10" s="25" t="s">
        <v>6</v>
      </c>
      <c r="B10" s="26"/>
      <c r="C10" s="22">
        <f>SUM(B5:B9)</f>
        <v>103931896</v>
      </c>
    </row>
    <row r="11" spans="1:4" ht="15.75" thickTop="1" x14ac:dyDescent="0.25"/>
    <row r="12" spans="1:4" ht="18.75" x14ac:dyDescent="0.3">
      <c r="A12" s="44" t="s">
        <v>7</v>
      </c>
      <c r="B12" s="45"/>
      <c r="C12" s="45"/>
      <c r="D12" s="46"/>
    </row>
    <row r="13" spans="1:4" x14ac:dyDescent="0.25">
      <c r="A13" s="23" t="s">
        <v>1</v>
      </c>
      <c r="B13" s="27" t="s">
        <v>65</v>
      </c>
      <c r="C13" s="23"/>
      <c r="D13" s="23"/>
    </row>
    <row r="14" spans="1:4" x14ac:dyDescent="0.25">
      <c r="A14" s="23" t="s">
        <v>2</v>
      </c>
      <c r="B14" s="28">
        <v>10256</v>
      </c>
      <c r="C14" s="23"/>
      <c r="D14" s="23"/>
    </row>
    <row r="15" spans="1:4" x14ac:dyDescent="0.25">
      <c r="A15" s="23" t="s">
        <v>3</v>
      </c>
      <c r="B15" s="29">
        <v>1068</v>
      </c>
      <c r="C15" s="23"/>
      <c r="D15" s="23"/>
    </row>
    <row r="16" spans="1:4" x14ac:dyDescent="0.25">
      <c r="A16" s="23" t="s">
        <v>4</v>
      </c>
      <c r="B16" s="24">
        <v>2589</v>
      </c>
      <c r="C16" s="23"/>
      <c r="D16" s="23"/>
    </row>
    <row r="17" spans="1:4" x14ac:dyDescent="0.25">
      <c r="A17" s="23" t="s">
        <v>5</v>
      </c>
      <c r="B17" s="24">
        <v>25000</v>
      </c>
      <c r="C17" s="23"/>
      <c r="D17" s="23"/>
    </row>
    <row r="18" spans="1:4" x14ac:dyDescent="0.25">
      <c r="A18" s="30" t="s">
        <v>8</v>
      </c>
      <c r="B18" s="23"/>
      <c r="C18" s="24">
        <f>SUM(B13:B17)</f>
        <v>38913</v>
      </c>
      <c r="D18" s="23"/>
    </row>
    <row r="19" spans="1:4" ht="15.75" thickBot="1" x14ac:dyDescent="0.3">
      <c r="A19" s="31" t="s">
        <v>9</v>
      </c>
      <c r="B19" s="32"/>
      <c r="C19" s="32"/>
      <c r="D19" s="33">
        <f>C10-C18</f>
        <v>103892983</v>
      </c>
    </row>
    <row r="20" spans="1:4" ht="15.75" thickTop="1" x14ac:dyDescent="0.25"/>
    <row r="21" spans="1:4" ht="18.75" x14ac:dyDescent="0.3">
      <c r="A21" s="44" t="s">
        <v>10</v>
      </c>
      <c r="B21" s="45"/>
      <c r="C21" s="45"/>
      <c r="D21" s="46"/>
    </row>
    <row r="22" spans="1:4" x14ac:dyDescent="0.25">
      <c r="A22" s="23" t="s">
        <v>11</v>
      </c>
      <c r="B22" s="24">
        <v>568987</v>
      </c>
      <c r="C22" s="23"/>
      <c r="D22" s="23"/>
    </row>
    <row r="23" spans="1:4" x14ac:dyDescent="0.25">
      <c r="A23" s="23" t="s">
        <v>12</v>
      </c>
      <c r="B23" s="24">
        <v>235000</v>
      </c>
      <c r="C23" s="23"/>
      <c r="D23" s="23"/>
    </row>
    <row r="24" spans="1:4" x14ac:dyDescent="0.25">
      <c r="A24" s="23" t="s">
        <v>13</v>
      </c>
      <c r="B24" s="24">
        <v>70000</v>
      </c>
      <c r="C24" s="23"/>
      <c r="D24" s="23"/>
    </row>
    <row r="25" spans="1:4" x14ac:dyDescent="0.25">
      <c r="A25" s="23" t="s">
        <v>14</v>
      </c>
      <c r="B25" s="24">
        <v>20000</v>
      </c>
      <c r="C25" s="23"/>
      <c r="D25" s="23"/>
    </row>
    <row r="26" spans="1:4" x14ac:dyDescent="0.25">
      <c r="A26" s="23" t="s">
        <v>15</v>
      </c>
      <c r="B26" s="24">
        <v>50000</v>
      </c>
      <c r="C26" s="23"/>
      <c r="D26" s="23"/>
    </row>
    <row r="27" spans="1:4" ht="15.75" thickBot="1" x14ac:dyDescent="0.3">
      <c r="A27" s="25" t="s">
        <v>16</v>
      </c>
      <c r="B27" s="36"/>
      <c r="C27" s="37"/>
      <c r="D27" s="22">
        <f>SUM(B22:B26)</f>
        <v>943987</v>
      </c>
    </row>
    <row r="28" spans="1:4" ht="15.75" thickTop="1" x14ac:dyDescent="0.25"/>
    <row r="29" spans="1:4" ht="18.75" x14ac:dyDescent="0.3">
      <c r="A29" s="44" t="s">
        <v>17</v>
      </c>
      <c r="B29" s="45"/>
      <c r="C29" s="45"/>
      <c r="D29" s="46"/>
    </row>
    <row r="30" spans="1:4" x14ac:dyDescent="0.25">
      <c r="A30" s="23" t="s">
        <v>18</v>
      </c>
      <c r="B30" s="24">
        <v>650000</v>
      </c>
      <c r="C30" s="23"/>
      <c r="D30" s="23"/>
    </row>
    <row r="31" spans="1:4" x14ac:dyDescent="0.25">
      <c r="A31" s="23" t="s">
        <v>19</v>
      </c>
      <c r="B31" s="24">
        <v>986000</v>
      </c>
      <c r="C31" s="23"/>
      <c r="D31" s="23"/>
    </row>
    <row r="32" spans="1:4" x14ac:dyDescent="0.25">
      <c r="A32" s="23" t="s">
        <v>20</v>
      </c>
      <c r="B32" s="24">
        <v>12345</v>
      </c>
      <c r="C32" s="23"/>
      <c r="D32" s="23"/>
    </row>
    <row r="33" spans="1:4" x14ac:dyDescent="0.25">
      <c r="A33" s="30" t="s">
        <v>21</v>
      </c>
      <c r="B33" s="34"/>
      <c r="C33" s="23"/>
      <c r="D33" s="35">
        <f>SUM(B30:B32)</f>
        <v>1648345</v>
      </c>
    </row>
    <row r="35" spans="1:4" ht="15.75" thickBot="1" x14ac:dyDescent="0.3">
      <c r="A35" s="31" t="s">
        <v>22</v>
      </c>
      <c r="B35" s="32"/>
      <c r="C35" s="32"/>
      <c r="D35" s="22">
        <f>D19+D27-D33</f>
        <v>103188625</v>
      </c>
    </row>
    <row r="36" spans="1:4" ht="15.75" thickTop="1" x14ac:dyDescent="0.25"/>
    <row r="37" spans="1:4" ht="18.75" x14ac:dyDescent="0.3">
      <c r="A37" s="44" t="s">
        <v>23</v>
      </c>
      <c r="B37" s="45"/>
      <c r="C37" s="45"/>
      <c r="D37" s="46"/>
    </row>
    <row r="38" spans="1:4" x14ac:dyDescent="0.25">
      <c r="A38" s="23" t="s">
        <v>24</v>
      </c>
      <c r="B38" s="24">
        <v>123456</v>
      </c>
      <c r="C38" s="23"/>
      <c r="D38" s="23"/>
    </row>
    <row r="39" spans="1:4" x14ac:dyDescent="0.25">
      <c r="A39" s="23" t="s">
        <v>25</v>
      </c>
      <c r="B39" s="24">
        <v>256874</v>
      </c>
      <c r="C39" s="23"/>
      <c r="D39" s="23"/>
    </row>
    <row r="40" spans="1:4" x14ac:dyDescent="0.25">
      <c r="A40" s="23" t="s">
        <v>26</v>
      </c>
      <c r="B40" s="24">
        <v>123987</v>
      </c>
      <c r="C40" s="23"/>
      <c r="D40" s="23"/>
    </row>
    <row r="41" spans="1:4" x14ac:dyDescent="0.25">
      <c r="A41" s="23" t="s">
        <v>27</v>
      </c>
      <c r="B41" s="24">
        <v>98654</v>
      </c>
      <c r="C41" s="23"/>
      <c r="D41" s="23"/>
    </row>
    <row r="42" spans="1:4" ht="15.75" thickBot="1" x14ac:dyDescent="0.3">
      <c r="A42" s="25" t="s">
        <v>28</v>
      </c>
      <c r="B42" s="37"/>
      <c r="C42" s="37"/>
      <c r="D42" s="22">
        <f>SUM(B38:B41)</f>
        <v>602971</v>
      </c>
    </row>
    <row r="43" spans="1:4" ht="15.75" thickTop="1" x14ac:dyDescent="0.25"/>
  </sheetData>
  <mergeCells count="7">
    <mergeCell ref="A21:D21"/>
    <mergeCell ref="A12:D12"/>
    <mergeCell ref="A29:D29"/>
    <mergeCell ref="A37:D37"/>
    <mergeCell ref="A1:D1"/>
    <mergeCell ref="A2:D2"/>
    <mergeCell ref="A4:C4"/>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3FCC1-1D37-414D-AEC6-3E5628A872D6}">
  <dimension ref="H3"/>
  <sheetViews>
    <sheetView workbookViewId="0">
      <selection activeCell="J17" sqref="J17"/>
    </sheetView>
  </sheetViews>
  <sheetFormatPr defaultRowHeight="15" x14ac:dyDescent="0.25"/>
  <sheetData>
    <row r="3" spans="8:8" x14ac:dyDescent="0.25">
      <c r="H3" t="s">
        <v>29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D329E-5FF8-4AB3-A8E0-848491CDDC91}">
  <dimension ref="A1:G9"/>
  <sheetViews>
    <sheetView workbookViewId="0">
      <selection activeCell="F15" sqref="F15"/>
    </sheetView>
  </sheetViews>
  <sheetFormatPr defaultRowHeight="15" x14ac:dyDescent="0.25"/>
  <cols>
    <col min="1" max="1" width="24.140625" bestFit="1" customWidth="1"/>
    <col min="2" max="2" width="11" bestFit="1" customWidth="1"/>
  </cols>
  <sheetData>
    <row r="1" spans="1:7" ht="16.5" thickTop="1" thickBot="1" x14ac:dyDescent="0.3">
      <c r="A1" s="49" t="s">
        <v>30</v>
      </c>
      <c r="B1" s="49"/>
      <c r="C1" s="49"/>
      <c r="D1" s="49"/>
      <c r="E1" s="49"/>
      <c r="F1" s="49"/>
      <c r="G1" s="49"/>
    </row>
    <row r="2" spans="1:7" ht="16.5" thickTop="1" thickBot="1" x14ac:dyDescent="0.3">
      <c r="A2" s="38"/>
      <c r="B2" s="38">
        <v>2010</v>
      </c>
      <c r="C2" s="38">
        <f>B2+1</f>
        <v>2011</v>
      </c>
      <c r="D2" s="38">
        <f t="shared" ref="D2:F2" si="0">C2+1</f>
        <v>2012</v>
      </c>
      <c r="E2" s="38">
        <f t="shared" si="0"/>
        <v>2013</v>
      </c>
      <c r="F2" s="38">
        <f t="shared" si="0"/>
        <v>2014</v>
      </c>
      <c r="G2" s="38" t="s">
        <v>31</v>
      </c>
    </row>
    <row r="3" spans="1:7" ht="16.5" thickTop="1" thickBot="1" x14ac:dyDescent="0.3">
      <c r="A3" s="39" t="s">
        <v>32</v>
      </c>
      <c r="B3" s="39">
        <v>802</v>
      </c>
      <c r="C3" s="39">
        <v>950</v>
      </c>
      <c r="D3" s="39">
        <v>1015</v>
      </c>
      <c r="E3" s="39">
        <v>1050</v>
      </c>
      <c r="F3" s="39">
        <v>1385</v>
      </c>
      <c r="G3" s="40">
        <f>SUM(B3:F3)/SUM($B$3:$F$7)</f>
        <v>0.53027522935779814</v>
      </c>
    </row>
    <row r="4" spans="1:7" ht="16.5" thickTop="1" thickBot="1" x14ac:dyDescent="0.3">
      <c r="A4" s="39" t="s">
        <v>33</v>
      </c>
      <c r="B4" s="39">
        <v>352</v>
      </c>
      <c r="C4" s="39">
        <v>325</v>
      </c>
      <c r="D4" s="39">
        <v>302</v>
      </c>
      <c r="E4" s="39">
        <v>250</v>
      </c>
      <c r="F4" s="39">
        <v>150</v>
      </c>
      <c r="G4" s="40">
        <f t="shared" ref="G4:G7" si="1">SUM(B4:F4)/SUM($B$3:$F$7)</f>
        <v>0.14057084607543324</v>
      </c>
    </row>
    <row r="5" spans="1:7" ht="16.5" thickTop="1" thickBot="1" x14ac:dyDescent="0.3">
      <c r="A5" s="39" t="s">
        <v>34</v>
      </c>
      <c r="B5" s="39">
        <v>15</v>
      </c>
      <c r="C5" s="39">
        <v>75</v>
      </c>
      <c r="D5" s="39">
        <v>280</v>
      </c>
      <c r="E5" s="39">
        <v>402</v>
      </c>
      <c r="F5" s="39">
        <v>658</v>
      </c>
      <c r="G5" s="40">
        <f t="shared" si="1"/>
        <v>0.14576962283384301</v>
      </c>
    </row>
    <row r="6" spans="1:7" ht="16.5" thickTop="1" thickBot="1" x14ac:dyDescent="0.3">
      <c r="A6" s="39" t="s">
        <v>35</v>
      </c>
      <c r="B6" s="39">
        <v>191</v>
      </c>
      <c r="C6" s="39">
        <v>190</v>
      </c>
      <c r="D6" s="39">
        <v>195</v>
      </c>
      <c r="E6" s="39">
        <v>198</v>
      </c>
      <c r="F6" s="39">
        <v>188</v>
      </c>
      <c r="G6" s="40">
        <f t="shared" si="1"/>
        <v>9.8063200815494397E-2</v>
      </c>
    </row>
    <row r="7" spans="1:7" ht="16.5" thickTop="1" thickBot="1" x14ac:dyDescent="0.3">
      <c r="A7" s="39" t="s">
        <v>36</v>
      </c>
      <c r="B7" s="39">
        <v>215</v>
      </c>
      <c r="C7" s="39">
        <v>178</v>
      </c>
      <c r="D7" s="39">
        <v>52</v>
      </c>
      <c r="E7" s="39">
        <v>190</v>
      </c>
      <c r="F7" s="39">
        <v>202</v>
      </c>
      <c r="G7" s="40">
        <f t="shared" si="1"/>
        <v>8.5321100917431197E-2</v>
      </c>
    </row>
    <row r="8" spans="1:7" ht="16.5" thickTop="1" thickBot="1" x14ac:dyDescent="0.3">
      <c r="A8" s="38" t="s">
        <v>37</v>
      </c>
      <c r="B8" s="42">
        <f>SUM(B2:B7)</f>
        <v>3585</v>
      </c>
      <c r="C8" s="41">
        <f t="shared" ref="C8:F8" si="2">SUM(C2:C7)</f>
        <v>3729</v>
      </c>
      <c r="D8" s="41">
        <f t="shared" si="2"/>
        <v>3856</v>
      </c>
      <c r="E8" s="41">
        <f t="shared" si="2"/>
        <v>4103</v>
      </c>
      <c r="F8" s="41">
        <f t="shared" si="2"/>
        <v>4597</v>
      </c>
      <c r="G8" s="40">
        <f>SUM(G3:G7)</f>
        <v>0.99999999999999989</v>
      </c>
    </row>
    <row r="9" spans="1:7" ht="15.75" thickTop="1" x14ac:dyDescent="0.25"/>
  </sheetData>
  <mergeCells count="1">
    <mergeCell ref="A1:G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1B906-327E-4709-A76B-953B977781D1}">
  <dimension ref="A1"/>
  <sheetViews>
    <sheetView workbookViewId="0">
      <selection activeCell="C3" sqref="C3"/>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A3BD7-32E9-4E24-9558-155CA364B953}">
  <dimension ref="A1"/>
  <sheetViews>
    <sheetView workbookViewId="0">
      <selection activeCell="P19" sqref="P19"/>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F89F6-87BD-4579-9370-97B2B4095295}">
  <dimension ref="A1"/>
  <sheetViews>
    <sheetView workbookViewId="0">
      <selection activeCell="P18" sqref="P18"/>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B8438-2A8D-4E09-9277-0D868F9CCC61}">
  <dimension ref="A1"/>
  <sheetViews>
    <sheetView workbookViewId="0">
      <selection activeCell="O15" sqref="O15"/>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7A96A-E0D8-4B3E-9DC3-8B87F9448F38}">
  <dimension ref="A1"/>
  <sheetViews>
    <sheetView topLeftCell="A11" workbookViewId="0">
      <selection activeCell="O24" sqref="O24"/>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Working_With_Data</vt:lpstr>
      <vt:lpstr>Balance_Sheet</vt:lpstr>
      <vt:lpstr>image</vt:lpstr>
      <vt:lpstr>Chart-Data</vt:lpstr>
      <vt:lpstr>Recommended_Chart</vt:lpstr>
      <vt:lpstr>Pie_Chart</vt:lpstr>
      <vt:lpstr>Column_Chart</vt:lpstr>
      <vt:lpstr>Line_Chart</vt:lpstr>
      <vt:lpstr>Line_Stacked_Line_With_Markers</vt:lpstr>
    </vt:vector>
  </TitlesOfParts>
  <Company>KamIT Tietohallinto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K.C Deepak</dc:creator>
  <cp:lastModifiedBy>Hafiz Khurram Javid</cp:lastModifiedBy>
  <cp:lastPrinted>2021-10-30T18:33:14Z</cp:lastPrinted>
  <dcterms:created xsi:type="dcterms:W3CDTF">2018-10-22T14:18:21Z</dcterms:created>
  <dcterms:modified xsi:type="dcterms:W3CDTF">2021-11-03T12:39:35Z</dcterms:modified>
</cp:coreProperties>
</file>