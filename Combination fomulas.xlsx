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75119466a4748a69/Desktop/"/>
    </mc:Choice>
  </mc:AlternateContent>
  <xr:revisionPtr revIDLastSave="80" documentId="8_{0FC0FE7A-F181-42AF-AE8C-1DE98D454F13}" xr6:coauthVersionLast="47" xr6:coauthVersionMax="47" xr10:uidLastSave="{473CBF04-D973-4539-9D7B-CA75B23EF8B3}"/>
  <bookViews>
    <workbookView xWindow="-120" yWindow="-120" windowWidth="20730" windowHeight="11160" activeTab="3" xr2:uid="{D508005D-1EEF-4054-8D2A-750E1C9B6BC1}"/>
  </bookViews>
  <sheets>
    <sheet name="data" sheetId="10" r:id="rId1"/>
    <sheet name="Q1" sheetId="1" r:id="rId2"/>
    <sheet name="Q2" sheetId="7" r:id="rId3"/>
    <sheet name="Q3" sheetId="2" r:id="rId4"/>
    <sheet name="Charts" sheetId="12" r:id="rId5"/>
    <sheet name="Q4" sheetId="8" r:id="rId6"/>
    <sheet name="Sheet1" sheetId="11" r:id="rId7"/>
    <sheet name="Q1_Answers" sheetId="9" r:id="rId8"/>
  </sheets>
  <definedNames>
    <definedName name="_xlchart.v2.0" hidden="1">'Q3'!$A$14:$A$18</definedName>
    <definedName name="_xlchart.v2.1" hidden="1">'Q3'!$B$13</definedName>
    <definedName name="_xlchart.v2.2" hidden="1">'Q3'!$B$14:$B$18</definedName>
    <definedName name="_xlchart.v2.3" hidden="1">'Q3'!$A$14:$A$18</definedName>
    <definedName name="_xlchart.v2.4" hidden="1">'Q3'!$B$13</definedName>
    <definedName name="_xlchart.v2.5" hidden="1">'Q3'!$B$14:$B$18</definedName>
    <definedName name="ExternalData_1" localSheetId="0" hidden="1">data!$A$1:$N$388</definedName>
    <definedName name="Slicer_Price">#N/A</definedName>
    <definedName name="Slicer_Rainfall">#N/A</definedName>
  </definedNames>
  <calcPr calcId="191029"/>
  <pivotCaches>
    <pivotCache cacheId="0" r:id="rId9"/>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8" l="1"/>
  <c r="J6" i="8"/>
  <c r="J7" i="8"/>
  <c r="J8" i="8"/>
  <c r="J9" i="8"/>
  <c r="J10" i="8"/>
  <c r="J11" i="8"/>
  <c r="J12" i="8"/>
  <c r="J13" i="8"/>
  <c r="J14" i="8"/>
  <c r="J15" i="8"/>
  <c r="J16" i="8"/>
  <c r="J17" i="8"/>
  <c r="J18" i="8"/>
  <c r="J19" i="8"/>
  <c r="J20" i="8"/>
  <c r="J21" i="8"/>
  <c r="J22" i="8"/>
  <c r="I5" i="8"/>
  <c r="I6" i="8"/>
  <c r="I7" i="8"/>
  <c r="I8" i="8"/>
  <c r="I9" i="8"/>
  <c r="I10" i="8"/>
  <c r="I11" i="8"/>
  <c r="I12" i="8"/>
  <c r="I13" i="8"/>
  <c r="I14" i="8"/>
  <c r="I15" i="8"/>
  <c r="I16" i="8"/>
  <c r="I17" i="8"/>
  <c r="I18" i="8"/>
  <c r="I19" i="8"/>
  <c r="I20" i="8"/>
  <c r="I21" i="8"/>
  <c r="I22" i="8"/>
  <c r="J4" i="8"/>
  <c r="I4" i="8"/>
  <c r="F5" i="8" l="1"/>
  <c r="F7" i="8"/>
  <c r="F9" i="8"/>
  <c r="F11" i="8"/>
  <c r="F13" i="8"/>
  <c r="F15" i="8"/>
  <c r="F17" i="8"/>
  <c r="F19" i="8"/>
  <c r="F21" i="8"/>
  <c r="F23" i="8"/>
  <c r="F25" i="8"/>
  <c r="F27" i="8"/>
  <c r="F29" i="8"/>
  <c r="F31" i="8"/>
  <c r="F33" i="8"/>
  <c r="F35" i="8"/>
  <c r="F37" i="8"/>
  <c r="F39" i="8"/>
  <c r="F41" i="8"/>
  <c r="F43" i="8"/>
  <c r="F45" i="8"/>
  <c r="F47" i="8"/>
  <c r="F49" i="8"/>
  <c r="F51" i="8"/>
  <c r="F53" i="8"/>
  <c r="F55" i="8"/>
  <c r="F57" i="8"/>
  <c r="F59" i="8"/>
  <c r="D53" i="2"/>
  <c r="D54" i="2"/>
  <c r="D55" i="2"/>
  <c r="D56" i="2"/>
  <c r="D57" i="2"/>
  <c r="D58" i="2"/>
  <c r="D59" i="2"/>
  <c r="D52" i="2"/>
  <c r="E35" i="2"/>
  <c r="B35" i="2"/>
  <c r="C41" i="2"/>
  <c r="C42" i="2"/>
  <c r="C43" i="2"/>
  <c r="C44" i="2"/>
  <c r="C45" i="2"/>
  <c r="C46" i="2"/>
  <c r="C40" i="2"/>
  <c r="E4" i="7"/>
  <c r="E5" i="7"/>
  <c r="E6" i="7"/>
  <c r="E7" i="7"/>
  <c r="E8" i="7"/>
  <c r="E9" i="7"/>
  <c r="E10" i="7"/>
  <c r="E11" i="7"/>
  <c r="E12" i="7"/>
  <c r="E3" i="7"/>
  <c r="G3" i="7"/>
  <c r="G2" i="7"/>
  <c r="E3" i="8"/>
  <c r="F3" i="8" s="1"/>
  <c r="E4" i="8"/>
  <c r="F4" i="8" s="1"/>
  <c r="E5" i="8"/>
  <c r="E6" i="8"/>
  <c r="F6" i="8" s="1"/>
  <c r="E7" i="8"/>
  <c r="E8" i="8"/>
  <c r="F8" i="8" s="1"/>
  <c r="E9" i="8"/>
  <c r="E10" i="8"/>
  <c r="F10" i="8" s="1"/>
  <c r="E11" i="8"/>
  <c r="E12" i="8"/>
  <c r="F12" i="8" s="1"/>
  <c r="E13" i="8"/>
  <c r="E14" i="8"/>
  <c r="F14" i="8" s="1"/>
  <c r="E15" i="8"/>
  <c r="E16" i="8"/>
  <c r="F16" i="8" s="1"/>
  <c r="E17" i="8"/>
  <c r="E18" i="8"/>
  <c r="F18" i="8" s="1"/>
  <c r="E19" i="8"/>
  <c r="E20" i="8"/>
  <c r="F20" i="8" s="1"/>
  <c r="E21" i="8"/>
  <c r="E22" i="8"/>
  <c r="F22" i="8" s="1"/>
  <c r="E23" i="8"/>
  <c r="E24" i="8"/>
  <c r="F24" i="8" s="1"/>
  <c r="E25" i="8"/>
  <c r="E26" i="8"/>
  <c r="F26" i="8" s="1"/>
  <c r="E27" i="8"/>
  <c r="E28" i="8"/>
  <c r="F28" i="8" s="1"/>
  <c r="E29" i="8"/>
  <c r="E30" i="8"/>
  <c r="F30" i="8" s="1"/>
  <c r="E31" i="8"/>
  <c r="E32" i="8"/>
  <c r="F32" i="8" s="1"/>
  <c r="E33" i="8"/>
  <c r="E34" i="8"/>
  <c r="F34" i="8" s="1"/>
  <c r="E35" i="8"/>
  <c r="E36" i="8"/>
  <c r="F36" i="8" s="1"/>
  <c r="E37" i="8"/>
  <c r="E38" i="8"/>
  <c r="F38" i="8" s="1"/>
  <c r="E39" i="8"/>
  <c r="E40" i="8"/>
  <c r="F40" i="8" s="1"/>
  <c r="E41" i="8"/>
  <c r="E42" i="8"/>
  <c r="F42" i="8" s="1"/>
  <c r="E43" i="8"/>
  <c r="E44" i="8"/>
  <c r="F44" i="8" s="1"/>
  <c r="E45" i="8"/>
  <c r="E46" i="8"/>
  <c r="F46" i="8" s="1"/>
  <c r="E47" i="8"/>
  <c r="E48" i="8"/>
  <c r="F48" i="8" s="1"/>
  <c r="E49" i="8"/>
  <c r="E50" i="8"/>
  <c r="F50" i="8" s="1"/>
  <c r="E51" i="8"/>
  <c r="E52" i="8"/>
  <c r="F52" i="8" s="1"/>
  <c r="E53" i="8"/>
  <c r="E54" i="8"/>
  <c r="F54" i="8" s="1"/>
  <c r="E55" i="8"/>
  <c r="E56" i="8"/>
  <c r="F56" i="8" s="1"/>
  <c r="E57" i="8"/>
  <c r="E58" i="8"/>
  <c r="F58" i="8" s="1"/>
  <c r="E59" i="8"/>
  <c r="P8" i="2"/>
  <c r="O8" i="2"/>
  <c r="G4" i="7" l="1"/>
  <c r="W16" i="1"/>
  <c r="Y3" i="1" s="1"/>
  <c r="N17" i="8"/>
  <c r="M17" i="8"/>
  <c r="Q8" i="7"/>
  <c r="P8" i="7"/>
  <c r="X16" i="1"/>
  <c r="C39" i="2"/>
  <c r="X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50921-6C09-427F-A74B-F11D23875FFF}" keepAlive="1" name="Query - data" description="Connection to the 'data' query in the workbook." type="5" refreshedVersion="7"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<sst xmlns="http://schemas.openxmlformats.org/spreadsheetml/2006/main" count="2014" uniqueCount="181">
  <si>
    <t>Date</t>
  </si>
  <si>
    <t>Revenue</t>
  </si>
  <si>
    <t>Jan</t>
  </si>
  <si>
    <t>Game Stats</t>
  </si>
  <si>
    <t>Day Played</t>
  </si>
  <si>
    <t>Game 1</t>
  </si>
  <si>
    <t>Game 2</t>
  </si>
  <si>
    <t>Game 3</t>
  </si>
  <si>
    <t>Average
Wins</t>
  </si>
  <si>
    <t>Number of plays</t>
  </si>
  <si>
    <t>Day 1</t>
  </si>
  <si>
    <t>Total wins</t>
  </si>
  <si>
    <t>Day 2</t>
  </si>
  <si>
    <t>Total losses</t>
  </si>
  <si>
    <t>Day 3</t>
  </si>
  <si>
    <t>Day 4</t>
  </si>
  <si>
    <t>Day 5</t>
  </si>
  <si>
    <t>Day 6</t>
  </si>
  <si>
    <t>Day 7</t>
  </si>
  <si>
    <t>Day 8</t>
  </si>
  <si>
    <t>Day 9</t>
  </si>
  <si>
    <t>Day 10</t>
  </si>
  <si>
    <t xml:space="preserve">Total </t>
  </si>
  <si>
    <t>Activity</t>
  </si>
  <si>
    <t>Start Time</t>
  </si>
  <si>
    <t>Duration</t>
  </si>
  <si>
    <t>A</t>
  </si>
  <si>
    <t>B</t>
  </si>
  <si>
    <t>C</t>
  </si>
  <si>
    <t>D</t>
  </si>
  <si>
    <t>E</t>
  </si>
  <si>
    <t>Item</t>
  </si>
  <si>
    <t>Amount</t>
  </si>
  <si>
    <t>Profit</t>
  </si>
  <si>
    <t>Labor Costs</t>
  </si>
  <si>
    <t>Material Costs</t>
  </si>
  <si>
    <t>Overhead Costs</t>
  </si>
  <si>
    <t>Email</t>
  </si>
  <si>
    <t>First name</t>
  </si>
  <si>
    <t>Last name</t>
  </si>
  <si>
    <t>Nancy.Smith@contoso.com</t>
  </si>
  <si>
    <t>Smith</t>
  </si>
  <si>
    <t>Andy.North@fabrikam.com</t>
  </si>
  <si>
    <t>Jan.Kotas@relecloud.com</t>
  </si>
  <si>
    <t>Mariya.Jones@contoso.com</t>
  </si>
  <si>
    <t xml:space="preserve">Yvonne.McKay@fabrikam.com </t>
  </si>
  <si>
    <t>Fruit</t>
  </si>
  <si>
    <t>Meat</t>
  </si>
  <si>
    <t>Apples</t>
  </si>
  <si>
    <t>Beef</t>
  </si>
  <si>
    <t>Oranges</t>
  </si>
  <si>
    <t>Chicken</t>
  </si>
  <si>
    <t>Bananas</t>
  </si>
  <si>
    <t>Pork</t>
  </si>
  <si>
    <t>Lemons</t>
  </si>
  <si>
    <t>Fish</t>
  </si>
  <si>
    <t>MIN &gt;</t>
  </si>
  <si>
    <t>MAX &gt;</t>
  </si>
  <si>
    <t>First Name</t>
  </si>
  <si>
    <t>Last Name</t>
  </si>
  <si>
    <t>Full Name</t>
  </si>
  <si>
    <t>Nancy</t>
  </si>
  <si>
    <t>Andy</t>
  </si>
  <si>
    <t>North</t>
  </si>
  <si>
    <t>Kotas</t>
  </si>
  <si>
    <t>Mariya</t>
  </si>
  <si>
    <t>Jones</t>
  </si>
  <si>
    <t>Steven</t>
  </si>
  <si>
    <t>Thorpe</t>
  </si>
  <si>
    <t>Michael</t>
  </si>
  <si>
    <t>Neipper</t>
  </si>
  <si>
    <t>Robert</t>
  </si>
  <si>
    <t>Zare</t>
  </si>
  <si>
    <t>Yvonne</t>
  </si>
  <si>
    <t>McKay</t>
  </si>
  <si>
    <t>id</t>
  </si>
  <si>
    <t>HAMK123</t>
  </si>
  <si>
    <t>HAMK124</t>
  </si>
  <si>
    <t>HAMK125</t>
  </si>
  <si>
    <t>HAMK126</t>
  </si>
  <si>
    <t>HAMK127</t>
  </si>
  <si>
    <t>HAMK128</t>
  </si>
  <si>
    <t>HAMK129</t>
  </si>
  <si>
    <t>HAMK130</t>
  </si>
  <si>
    <t>HAMK131</t>
  </si>
  <si>
    <t>HAMK132</t>
  </si>
  <si>
    <t>HAMK133</t>
  </si>
  <si>
    <t>HAMK134</t>
  </si>
  <si>
    <t>HAMK135</t>
  </si>
  <si>
    <t>HAMK136</t>
  </si>
  <si>
    <t>HAMK137</t>
  </si>
  <si>
    <t>HAMK138</t>
  </si>
  <si>
    <t>HAMK139</t>
  </si>
  <si>
    <t>HAMK140</t>
  </si>
  <si>
    <t>HAMK141</t>
  </si>
  <si>
    <t>Time In</t>
  </si>
  <si>
    <t>Time Out</t>
  </si>
  <si>
    <t>Hours worked</t>
  </si>
  <si>
    <t>Salary= hours worked *15</t>
  </si>
  <si>
    <t>Total Salary</t>
  </si>
  <si>
    <t xml:space="preserve">Total Hours </t>
  </si>
  <si>
    <t>Data 1</t>
  </si>
  <si>
    <t>Data 2</t>
  </si>
  <si>
    <t>Total Points Received</t>
  </si>
  <si>
    <t>To pass</t>
  </si>
  <si>
    <t>17 Points</t>
  </si>
  <si>
    <t>Points</t>
  </si>
  <si>
    <t>Task1</t>
  </si>
  <si>
    <t>Task2</t>
  </si>
  <si>
    <t>Task3</t>
  </si>
  <si>
    <t>Task4</t>
  </si>
  <si>
    <t>Task5</t>
  </si>
  <si>
    <t>Total</t>
  </si>
  <si>
    <t>Task6</t>
  </si>
  <si>
    <t>Task7</t>
  </si>
  <si>
    <t>Task8</t>
  </si>
  <si>
    <t>Task9</t>
  </si>
  <si>
    <t>Task10</t>
  </si>
  <si>
    <t>Q1</t>
  </si>
  <si>
    <t>Total Points</t>
  </si>
  <si>
    <t>Grade</t>
  </si>
  <si>
    <t>Grading Scale</t>
  </si>
  <si>
    <t>Column1</t>
  </si>
  <si>
    <t>Column2</t>
  </si>
  <si>
    <t>Column3</t>
  </si>
  <si>
    <t>Month</t>
  </si>
  <si>
    <t>Day</t>
  </si>
  <si>
    <t>Temperature</t>
  </si>
  <si>
    <t>Rainfall</t>
  </si>
  <si>
    <t>RainfallCategory</t>
  </si>
  <si>
    <t>Flyers</t>
  </si>
  <si>
    <t>FlyerSuccess</t>
  </si>
  <si>
    <t>FlyerSuccessScore</t>
  </si>
  <si>
    <t>Price</t>
  </si>
  <si>
    <t>Sales</t>
  </si>
  <si>
    <t>Target</t>
  </si>
  <si>
    <t>OverallPerformance</t>
  </si>
  <si>
    <t>Sunday</t>
  </si>
  <si>
    <t>Heavy</t>
  </si>
  <si>
    <t>Low</t>
  </si>
  <si>
    <t>Monday</t>
  </si>
  <si>
    <t>Tuesday</t>
  </si>
  <si>
    <t>Medium</t>
  </si>
  <si>
    <t>Wednesday</t>
  </si>
  <si>
    <t>Thursday</t>
  </si>
  <si>
    <t>Friday</t>
  </si>
  <si>
    <t>Saturday</t>
  </si>
  <si>
    <t>None</t>
  </si>
  <si>
    <t>Feb</t>
  </si>
  <si>
    <t>High</t>
  </si>
  <si>
    <t>Mar</t>
  </si>
  <si>
    <t>Apr</t>
  </si>
  <si>
    <t>May</t>
  </si>
  <si>
    <t>Jun</t>
  </si>
  <si>
    <t>Jul</t>
  </si>
  <si>
    <t>Aug</t>
  </si>
  <si>
    <t>Sep</t>
  </si>
  <si>
    <t>Oct</t>
  </si>
  <si>
    <t>Nov</t>
  </si>
  <si>
    <t>Dec</t>
  </si>
  <si>
    <t>Row Labels</t>
  </si>
  <si>
    <t>Grand Total</t>
  </si>
  <si>
    <t>Sum of Target</t>
  </si>
  <si>
    <t>Task 3</t>
  </si>
  <si>
    <t>Revenue per Month</t>
  </si>
  <si>
    <t>Performance</t>
  </si>
  <si>
    <t>Task 5 &amp; 6</t>
  </si>
  <si>
    <t>Task 7</t>
  </si>
  <si>
    <t>Max of Revenue</t>
  </si>
  <si>
    <t>Min of Revenue</t>
  </si>
  <si>
    <t>Task 8</t>
  </si>
  <si>
    <t>Task 9</t>
  </si>
  <si>
    <t>Task 10</t>
  </si>
  <si>
    <t>Task 4</t>
  </si>
  <si>
    <t xml:space="preserve">Ans = Used Fill Flash </t>
  </si>
  <si>
    <t>Please see Charts Sheet</t>
  </si>
  <si>
    <t>Shortcut :Ctrl + E</t>
  </si>
  <si>
    <t>Column4</t>
  </si>
  <si>
    <t>Column5</t>
  </si>
  <si>
    <t>Target per Month</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</si>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</sst>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h:mm;@"/>
  </numFmts>
  <fonts count="16"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0"/>
      <name val="Calibri"/>
      <family val="2"/>
      <scheme val="minor"/>
    </font>
    <font>
      <sz val="24"/>
      <color theme="9" tint="-0.249977111117893"/>
      <name val="Calibri Light"/>
      <family val="2"/>
      <scheme val="major"/>
    </font>
    <font>
      <b/>
      <sz val="11"/>
      <color rgb="FF7030A0"/>
      <name val="Calibri"/>
      <family val="2"/>
      <scheme val="minor"/>
    </font>
    <font>
      <b/>
      <sz val="11"/>
      <color rgb="FF0070C0"/>
      <name val="Calibri"/>
      <family val="2"/>
      <scheme val="minor"/>
    </font>
    <font>
      <b/>
      <sz val="10"/>
      <name val="Arial"/>
      <family val="2"/>
    </font>
    <font>
      <sz val="8"/>
      <name val="Calibri"/>
      <family val="2"/>
      <scheme val="minor"/>
    </font>
    <font>
      <b/>
      <sz val="11"/>
      <color rgb="FFFA7D00"/>
      <name val="Calibri"/>
      <family val="2"/>
      <scheme val="minor"/>
    </font>
    <font>
      <sz val="14"/>
      <color rgb="FFFF0000"/>
      <name val="Arial"/>
      <family val="2"/>
    </font>
    <font>
      <sz val="10"/>
      <name val="Arial"/>
      <family val="2"/>
    </font>
    <font>
      <b/>
      <sz val="11"/>
      <color theme="0"/>
      <name val="Calibri"/>
      <family val="2"/>
      <scheme val="minor"/>
    </font>
    <font>
      <b/>
      <sz val="14"/>
      <color theme="1"/>
      <name val="Calibri"/>
      <family val="2"/>
      <scheme val="minor"/>
    </font>
    <font>
      <b/>
      <sz val="16"/>
      <color theme="1"/>
      <name val="Calibri"/>
      <family val="2"/>
      <scheme val="minor"/>
    </font>
  </fonts>
  <fills count="14">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rgb="FFF2F2F2"/>
      </patternFill>
    </fill>
    <fill>
      <patternFill patternType="solid">
        <fgColor rgb="FFFFFFCC"/>
      </patternFill>
    </fill>
    <fill>
      <patternFill patternType="solid">
        <fgColor theme="8"/>
      </patternFill>
    </fill>
    <fill>
      <patternFill patternType="solid">
        <fgColor rgb="FFFFFF00"/>
        <bgColor indexed="64"/>
      </patternFill>
    </fill>
    <fill>
      <patternFill patternType="solid">
        <fgColor theme="4"/>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5" tint="-0.249977111117893"/>
        <bgColor indexed="64"/>
      </patternFill>
    </fill>
  </fills>
  <borders count="19">
    <border>
      <left/>
      <right/>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39966"/>
      </left>
      <right/>
      <top/>
      <bottom/>
      <diagonal/>
    </border>
    <border>
      <left/>
      <right/>
      <top style="thin">
        <color rgb="FF339966"/>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5">
    <xf numFmtId="0" fontId="0" fillId="0" borderId="0"/>
    <xf numFmtId="0" fontId="2" fillId="0" borderId="1" applyNumberFormat="0" applyFill="0" applyAlignment="0" applyProtection="0"/>
    <xf numFmtId="0" fontId="1" fillId="0" borderId="0"/>
    <xf numFmtId="0" fontId="1" fillId="0" borderId="3" applyNumberFormat="0" applyFont="0" applyFill="0" applyAlignment="0"/>
    <xf numFmtId="0" fontId="1" fillId="0" borderId="5" applyNumberFormat="0" applyFont="0" applyFill="0" applyAlignment="0"/>
    <xf numFmtId="0" fontId="1" fillId="0" borderId="6" applyNumberFormat="0" applyFont="0" applyFill="0"/>
    <xf numFmtId="0" fontId="4" fillId="2" borderId="0" applyNumberFormat="0" applyBorder="0" applyProtection="0"/>
    <xf numFmtId="0" fontId="1" fillId="3" borderId="0"/>
    <xf numFmtId="0" fontId="1" fillId="4" borderId="2"/>
    <xf numFmtId="0" fontId="10" fillId="5" borderId="12" applyNumberFormat="0" applyAlignment="0" applyProtection="0"/>
    <xf numFmtId="0" fontId="1" fillId="6" borderId="2" applyNumberFormat="0" applyFont="0" applyAlignment="0" applyProtection="0"/>
    <xf numFmtId="0" fontId="4" fillId="7" borderId="0" applyNumberFormat="0" applyBorder="0" applyAlignment="0" applyProtection="0"/>
    <xf numFmtId="0" fontId="4" fillId="9"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72">
    <xf numFmtId="0" fontId="0" fillId="0" borderId="0" xfId="0"/>
    <xf numFmtId="0" fontId="3" fillId="0" borderId="0" xfId="0" applyFont="1"/>
    <xf numFmtId="0" fontId="5" fillId="0" borderId="0" xfId="2" applyFont="1"/>
    <xf numFmtId="0" fontId="1" fillId="0" borderId="0" xfId="2"/>
    <xf numFmtId="0" fontId="3" fillId="0" borderId="0" xfId="2" applyFont="1"/>
    <xf numFmtId="0" fontId="6" fillId="0" borderId="0" xfId="2" applyFont="1" applyAlignment="1">
      <alignment horizontal="center" wrapText="1"/>
    </xf>
    <xf numFmtId="0" fontId="7" fillId="0" borderId="0" xfId="2" applyFont="1"/>
    <xf numFmtId="0" fontId="1" fillId="0" borderId="0" xfId="2" applyAlignment="1">
      <alignment horizontal="right"/>
    </xf>
    <xf numFmtId="0" fontId="1" fillId="0" borderId="0" xfId="2" applyAlignment="1">
      <alignment horizontal="center"/>
    </xf>
    <xf numFmtId="0" fontId="8" fillId="0" borderId="0" xfId="0" applyFont="1"/>
    <xf numFmtId="0" fontId="2" fillId="0" borderId="1" xfId="1"/>
    <xf numFmtId="0" fontId="0" fillId="0" borderId="3" xfId="3" applyFont="1"/>
    <xf numFmtId="0" fontId="0" fillId="0" borderId="5" xfId="4" applyFont="1"/>
    <xf numFmtId="0" fontId="0" fillId="0" borderId="6" xfId="5" applyFont="1"/>
    <xf numFmtId="0" fontId="0" fillId="0" borderId="8" xfId="4" applyFont="1" applyBorder="1"/>
    <xf numFmtId="0" fontId="0" fillId="0" borderId="0" xfId="4" applyFont="1" applyBorder="1"/>
    <xf numFmtId="0" fontId="8" fillId="0" borderId="3" xfId="5" applyFont="1" applyFill="1" applyBorder="1"/>
    <xf numFmtId="0" fontId="4" fillId="2" borderId="0" xfId="6"/>
    <xf numFmtId="0" fontId="4" fillId="2" borderId="0" xfId="6" applyAlignment="1">
      <alignment horizontal="right"/>
    </xf>
    <xf numFmtId="0" fontId="4" fillId="2" borderId="0" xfId="6" applyAlignment="1">
      <alignment horizontal="left"/>
    </xf>
    <xf numFmtId="0" fontId="1" fillId="3" borderId="9" xfId="7" applyBorder="1"/>
    <xf numFmtId="0" fontId="1" fillId="3" borderId="9" xfId="7" applyBorder="1" applyAlignment="1">
      <alignment horizontal="right"/>
    </xf>
    <xf numFmtId="0" fontId="1" fillId="3" borderId="9" xfId="7" applyBorder="1" applyAlignment="1">
      <alignment horizontal="left"/>
    </xf>
    <xf numFmtId="0" fontId="3" fillId="0" borderId="0" xfId="2" applyFont="1" applyAlignment="1">
      <alignment horizontal="left"/>
    </xf>
    <xf numFmtId="0" fontId="1" fillId="4" borderId="10" xfId="8" applyBorder="1" applyAlignment="1">
      <alignment horizontal="right"/>
    </xf>
    <xf numFmtId="0" fontId="3" fillId="3" borderId="0" xfId="7" applyFont="1"/>
    <xf numFmtId="0" fontId="1" fillId="4" borderId="2" xfId="8"/>
    <xf numFmtId="0" fontId="1" fillId="4" borderId="11" xfId="8" applyBorder="1"/>
    <xf numFmtId="20" fontId="0" fillId="0" borderId="0" xfId="0" applyNumberFormat="1"/>
    <xf numFmtId="164" fontId="0" fillId="0" borderId="0" xfId="0" applyNumberFormat="1"/>
    <xf numFmtId="0" fontId="11" fillId="6" borderId="2" xfId="10" applyFont="1" applyProtection="1"/>
    <xf numFmtId="0" fontId="12" fillId="0" borderId="0" xfId="0" applyFont="1" applyAlignment="1">
      <alignment horizontal="right"/>
    </xf>
    <xf numFmtId="0" fontId="12" fillId="0" borderId="0" xfId="0" applyFont="1"/>
    <xf numFmtId="0" fontId="10" fillId="5" borderId="12" xfId="9" applyProtection="1"/>
    <xf numFmtId="0" fontId="0" fillId="0" borderId="0" xfId="0" applyAlignment="1">
      <alignment horizontal="right"/>
    </xf>
    <xf numFmtId="0" fontId="4" fillId="7" borderId="0" xfId="11"/>
    <xf numFmtId="0" fontId="0" fillId="0" borderId="9" xfId="0" applyBorder="1"/>
    <xf numFmtId="0" fontId="0" fillId="8" borderId="9" xfId="0" applyFill="1" applyBorder="1"/>
    <xf numFmtId="0" fontId="0" fillId="0" borderId="13" xfId="0" applyBorder="1"/>
    <xf numFmtId="0" fontId="4" fillId="9" borderId="0" xfId="12"/>
    <xf numFmtId="0" fontId="0" fillId="11" borderId="14" xfId="0" applyFont="1" applyFill="1" applyBorder="1"/>
    <xf numFmtId="0" fontId="13" fillId="10" borderId="16" xfId="0" applyFont="1" applyFill="1" applyBorder="1"/>
    <xf numFmtId="0" fontId="13" fillId="10" borderId="17" xfId="0" applyFont="1" applyFill="1" applyBorder="1"/>
    <xf numFmtId="0" fontId="13" fillId="10" borderId="18" xfId="0" applyFont="1" applyFill="1" applyBorder="1"/>
    <xf numFmtId="0" fontId="0" fillId="11" borderId="16" xfId="0" applyFont="1" applyFill="1" applyBorder="1"/>
    <xf numFmtId="15" fontId="0" fillId="11" borderId="17" xfId="0" applyNumberFormat="1" applyFont="1" applyFill="1" applyBorder="1"/>
    <xf numFmtId="0" fontId="0" fillId="0" borderId="16" xfId="0" applyFont="1" applyBorder="1"/>
    <xf numFmtId="15" fontId="0" fillId="0" borderId="17" xfId="0" applyNumberFormat="1" applyFont="1" applyBorder="1"/>
    <xf numFmtId="164" fontId="0" fillId="0" borderId="17" xfId="0" applyNumberFormat="1" applyFont="1" applyBorder="1"/>
    <xf numFmtId="164" fontId="0" fillId="11" borderId="17" xfId="0" applyNumberFormat="1" applyFont="1" applyFill="1" applyBorder="1"/>
    <xf numFmtId="15" fontId="0" fillId="11" borderId="15" xfId="0" applyNumberFormat="1" applyFont="1" applyFill="1" applyBorder="1"/>
    <xf numFmtId="164" fontId="0" fillId="11" borderId="15" xfId="0" applyNumberFormat="1" applyFont="1" applyFill="1" applyBorder="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12" borderId="0" xfId="0" applyFont="1" applyFill="1"/>
    <xf numFmtId="0" fontId="14" fillId="12" borderId="0" xfId="0" applyFont="1" applyFill="1"/>
    <xf numFmtId="9" fontId="1" fillId="0" borderId="0" xfId="14" applyAlignment="1">
      <alignment horizontal="right"/>
    </xf>
    <xf numFmtId="0" fontId="0" fillId="0" borderId="4" xfId="0" applyFont="1" applyBorder="1"/>
    <xf numFmtId="0" fontId="0" fillId="0" borderId="0" xfId="0" applyFont="1" applyBorder="1"/>
    <xf numFmtId="0" fontId="0" fillId="0" borderId="7" xfId="0" applyFont="1" applyBorder="1"/>
    <xf numFmtId="0" fontId="3" fillId="12" borderId="0" xfId="4" applyFont="1" applyFill="1" applyBorder="1"/>
    <xf numFmtId="0" fontId="15" fillId="13" borderId="0" xfId="0" applyFont="1" applyFill="1"/>
    <xf numFmtId="0" fontId="0" fillId="13" borderId="0" xfId="0" applyFill="1"/>
    <xf numFmtId="44" fontId="0" fillId="0" borderId="0" xfId="13" applyFont="1"/>
    <xf numFmtId="44" fontId="0" fillId="11" borderId="18" xfId="13" applyFont="1" applyFill="1" applyBorder="1"/>
    <xf numFmtId="20" fontId="0" fillId="11" borderId="17" xfId="0" applyNumberFormat="1" applyFont="1" applyFill="1" applyBorder="1"/>
    <xf numFmtId="20" fontId="0" fillId="0" borderId="17" xfId="0" applyNumberFormat="1" applyFont="1" applyBorder="1"/>
    <xf numFmtId="20" fontId="0" fillId="11" borderId="15" xfId="0" applyNumberFormat="1" applyFont="1" applyFill="1" applyBorder="1"/>
    <xf numFmtId="0" fontId="8" fillId="0" borderId="0" xfId="0" applyFont="1" applyAlignment="1">
      <alignment horizontal="center"/>
    </xf>
  </cellXfs>
  <cellStyles count="15">
    <cellStyle name="Accent1" xfId="12" builtinId="29"/>
    <cellStyle name="Accent5" xfId="11" builtinId="45"/>
    <cellStyle name="Calculation" xfId="9" builtinId="22"/>
    <cellStyle name="Currency" xfId="13" builtinId="4"/>
    <cellStyle name="GrayCell" xfId="7" xr:uid="{6DE8BFB6-08DD-4C50-A13B-823CA0C4DAB7}"/>
    <cellStyle name="Heading 3" xfId="1" builtinId="18"/>
    <cellStyle name="Heading 3 2" xfId="6" xr:uid="{F50EB45B-5B32-49C8-8F6A-6CD1A183BFD2}"/>
    <cellStyle name="Left Bottom Green Border" xfId="5" xr:uid="{3454DF1C-4795-4507-AB5A-96216B8A70FB}"/>
    <cellStyle name="Left Green Border" xfId="3" xr:uid="{8E8B15C6-177B-4C75-8B5F-DCEAC3ABF44A}"/>
    <cellStyle name="Normal" xfId="0" builtinId="0"/>
    <cellStyle name="Normal 2" xfId="2" xr:uid="{E44044DF-33F2-471C-929B-61EDA6D39AFC}"/>
    <cellStyle name="Note" xfId="10" builtinId="10"/>
    <cellStyle name="Percent" xfId="14" builtinId="5"/>
    <cellStyle name="Right Green Border" xfId="4" xr:uid="{9FF7CD6F-A77A-4DC6-928E-79C9C74E17CF}"/>
    <cellStyle name="YellowCell" xfId="8" xr:uid="{A1CDDDBF-B56E-412B-B9DE-73CC4609428B}"/>
  </cellStyles>
  <dxfs count="13">
    <dxf>
      <numFmt numFmtId="19" formatCode="d/m/yy"/>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h:mm;@"/>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5" formatCode="h:mm"/>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h:mm;@"/>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0" formatCode="d\-mmm\-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numFmt numFmtId="0" formatCode="General"/>
    </dxf>
    <dxf>
      <numFmt numFmtId="0" formatCode="General"/>
    </dxf>
    <dxf>
      <numFmt numFmtId="0" formatCode="General"/>
    </dxf>
    <dxf>
      <numFmt numFmtId="19" formatCode="d/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Gantt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v>Start Time</c:v>
          </c:tx>
          <c:spPr>
            <a:noFill/>
            <a:ln>
              <a:noFill/>
            </a:ln>
            <a:effectLst/>
          </c:spPr>
          <c:invertIfNegative val="0"/>
          <c:cat>
            <c:strRef>
              <c:f>'Q3'!$A$4:$A$8</c:f>
              <c:strCache>
                <c:ptCount val="5"/>
                <c:pt idx="0">
                  <c:v>A</c:v>
                </c:pt>
                <c:pt idx="1">
                  <c:v>B</c:v>
                </c:pt>
                <c:pt idx="2">
                  <c:v>C</c:v>
                </c:pt>
                <c:pt idx="3">
                  <c:v>D</c:v>
                </c:pt>
                <c:pt idx="4">
                  <c:v>E</c:v>
                </c:pt>
              </c:strCache>
            </c:strRef>
          </c:cat>
          <c:val>
            <c:numRef>
              <c:f>'Q3'!$B$4:$B$8</c:f>
              <c:numCache>
                <c:formatCode>General</c:formatCode>
                <c:ptCount val="5"/>
                <c:pt idx="0">
                  <c:v>0</c:v>
                </c:pt>
                <c:pt idx="1">
                  <c:v>3</c:v>
                </c:pt>
                <c:pt idx="2">
                  <c:v>5</c:v>
                </c:pt>
                <c:pt idx="3">
                  <c:v>6</c:v>
                </c:pt>
                <c:pt idx="4">
                  <c:v>3</c:v>
                </c:pt>
              </c:numCache>
            </c:numRef>
          </c:val>
          <c:extLst>
            <c:ext xmlns:c16="http://schemas.microsoft.com/office/drawing/2014/chart" uri="{C3380CC4-5D6E-409C-BE32-E72D297353CC}">
              <c16:uniqueId val="{00000000-643E-499E-BF55-7ACA23E5D726}"/>
            </c:ext>
          </c:extLst>
        </c:ser>
        <c:ser>
          <c:idx val="1"/>
          <c:order val="1"/>
          <c:tx>
            <c:v>Duration</c:v>
          </c:tx>
          <c:spPr>
            <a:solidFill>
              <a:schemeClr val="accent2"/>
            </a:solidFill>
            <a:ln>
              <a:noFill/>
            </a:ln>
            <a:effectLst/>
          </c:spPr>
          <c:invertIfNegative val="0"/>
          <c:cat>
            <c:strRef>
              <c:f>'Q3'!$A$4:$A$8</c:f>
              <c:strCache>
                <c:ptCount val="5"/>
                <c:pt idx="0">
                  <c:v>A</c:v>
                </c:pt>
                <c:pt idx="1">
                  <c:v>B</c:v>
                </c:pt>
                <c:pt idx="2">
                  <c:v>C</c:v>
                </c:pt>
                <c:pt idx="3">
                  <c:v>D</c:v>
                </c:pt>
                <c:pt idx="4">
                  <c:v>E</c:v>
                </c:pt>
              </c:strCache>
            </c:strRef>
          </c:cat>
          <c:val>
            <c:numRef>
              <c:f>'Q3'!$C$4:$C$8</c:f>
              <c:numCache>
                <c:formatCode>General</c:formatCode>
                <c:ptCount val="5"/>
                <c:pt idx="0">
                  <c:v>4</c:v>
                </c:pt>
                <c:pt idx="1">
                  <c:v>6</c:v>
                </c:pt>
                <c:pt idx="2">
                  <c:v>7</c:v>
                </c:pt>
                <c:pt idx="3">
                  <c:v>8</c:v>
                </c:pt>
                <c:pt idx="4">
                  <c:v>7</c:v>
                </c:pt>
              </c:numCache>
            </c:numRef>
          </c:val>
          <c:extLst>
            <c:ext xmlns:c16="http://schemas.microsoft.com/office/drawing/2014/chart" uri="{C3380CC4-5D6E-409C-BE32-E72D297353CC}">
              <c16:uniqueId val="{00000001-643E-499E-BF55-7ACA23E5D726}"/>
            </c:ext>
          </c:extLst>
        </c:ser>
        <c:dLbls>
          <c:showLegendKey val="0"/>
          <c:showVal val="0"/>
          <c:showCatName val="0"/>
          <c:showSerName val="0"/>
          <c:showPercent val="0"/>
          <c:showBubbleSize val="0"/>
        </c:dLbls>
        <c:gapWidth val="150"/>
        <c:overlap val="100"/>
        <c:axId val="1259148704"/>
        <c:axId val="1259149120"/>
      </c:barChart>
      <c:catAx>
        <c:axId val="1259148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149120"/>
        <c:crosses val="autoZero"/>
        <c:auto val="1"/>
        <c:lblAlgn val="ctr"/>
        <c:lblOffset val="100"/>
        <c:noMultiLvlLbl val="0"/>
      </c:catAx>
      <c:valAx>
        <c:axId val="12591491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14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[exam1_2021_hafiz_javid.xlsx]Q1_Answers!PivotTable1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Q1_Answers!$L$7</c:f>
              <c:strCache>
                <c:ptCount val="1"/>
                <c:pt idx="0">
                  <c:v>Revenue per Month</c:v>
                </c:pt>
              </c:strCache>
            </c:strRef>
          </c:tx>
          <c:spPr>
            <a:solidFill>
              <a:schemeClr val="accent1"/>
            </a:solidFill>
            <a:ln>
              <a:noFill/>
            </a:ln>
            <a:effectLst/>
          </c:spPr>
          <c:invertIfNegative val="0"/>
          <c:cat>
            <c:strRef>
              <c:f>Q1_Answers!$K$8:$K$20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Q1_Answers!$L$8:$L$20</c:f>
              <c:numCache>
                <c:formatCode>General</c:formatCode>
                <c:ptCount val="12"/>
                <c:pt idx="0">
                  <c:v>138.59999999999997</c:v>
                </c:pt>
                <c:pt idx="1">
                  <c:v>167.1</c:v>
                </c:pt>
                <c:pt idx="2">
                  <c:v>222.6</c:v>
                </c:pt>
                <c:pt idx="3">
                  <c:v>235.79999999999998</c:v>
                </c:pt>
                <c:pt idx="4">
                  <c:v>274.5</c:v>
                </c:pt>
                <c:pt idx="5">
                  <c:v>316.80000000000007</c:v>
                </c:pt>
                <c:pt idx="6">
                  <c:v>556.5</c:v>
                </c:pt>
                <c:pt idx="7">
                  <c:v>470.5</c:v>
                </c:pt>
                <c:pt idx="8">
                  <c:v>357.00000000000006</c:v>
                </c:pt>
                <c:pt idx="9">
                  <c:v>281.09999999999991</c:v>
                </c:pt>
                <c:pt idx="10">
                  <c:v>196.49999999999997</c:v>
                </c:pt>
                <c:pt idx="11">
                  <c:v>138.60000000000002</c:v>
                </c:pt>
              </c:numCache>
            </c:numRef>
          </c:val>
          <c:extLst>
            <c:ext xmlns:c16="http://schemas.microsoft.com/office/drawing/2014/chart" uri="{C3380CC4-5D6E-409C-BE32-E72D297353CC}">
              <c16:uniqueId val="{00000000-9964-4B95-B7B1-BC6883B43B9D}"/>
            </c:ext>
          </c:extLst>
        </c:ser>
        <c:ser>
          <c:idx val="1"/>
          <c:order val="1"/>
          <c:tx>
            <c:strRef>
              <c:f>Q1_Answers!$M$7</c:f>
              <c:strCache>
                <c:ptCount val="1"/>
                <c:pt idx="0">
                  <c:v>Target per Month</c:v>
                </c:pt>
              </c:strCache>
            </c:strRef>
          </c:tx>
          <c:spPr>
            <a:solidFill>
              <a:schemeClr val="accent2"/>
            </a:solidFill>
            <a:ln>
              <a:noFill/>
            </a:ln>
            <a:effectLst/>
          </c:spPr>
          <c:invertIfNegative val="0"/>
          <c:cat>
            <c:strRef>
              <c:f>Q1_Answers!$K$8:$K$20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Q1_Answers!$M$8:$M$20</c:f>
              <c:numCache>
                <c:formatCode>General</c:formatCode>
                <c:ptCount val="12"/>
                <c:pt idx="0">
                  <c:v>248</c:v>
                </c:pt>
                <c:pt idx="1">
                  <c:v>224</c:v>
                </c:pt>
                <c:pt idx="2">
                  <c:v>248</c:v>
                </c:pt>
                <c:pt idx="3">
                  <c:v>240</c:v>
                </c:pt>
                <c:pt idx="4">
                  <c:v>248</c:v>
                </c:pt>
                <c:pt idx="5">
                  <c:v>240</c:v>
                </c:pt>
                <c:pt idx="6">
                  <c:v>248</c:v>
                </c:pt>
                <c:pt idx="7">
                  <c:v>248</c:v>
                </c:pt>
                <c:pt idx="8">
                  <c:v>352</c:v>
                </c:pt>
                <c:pt idx="9">
                  <c:v>304</c:v>
                </c:pt>
                <c:pt idx="10">
                  <c:v>248</c:v>
                </c:pt>
                <c:pt idx="11">
                  <c:v>248</c:v>
                </c:pt>
              </c:numCache>
            </c:numRef>
          </c:val>
          <c:extLst>
            <c:ext xmlns:c16="http://schemas.microsoft.com/office/drawing/2014/chart" uri="{C3380CC4-5D6E-409C-BE32-E72D297353CC}">
              <c16:uniqueId val="{00000001-9964-4B95-B7B1-BC6883B43B9D}"/>
            </c:ext>
          </c:extLst>
        </c:ser>
        <c:dLbls>
          <c:showLegendKey val="0"/>
          <c:showVal val="0"/>
          <c:showCatName val="0"/>
          <c:showSerName val="0"/>
          <c:showPercent val="0"/>
          <c:showBubbleSize val="0"/>
        </c:dLbls>
        <c:gapWidth val="219"/>
        <c:overlap val="-27"/>
        <c:axId val="1614619584"/>
        <c:axId val="1614620832"/>
      </c:barChart>
      <c:catAx>
        <c:axId val="161461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20832"/>
        <c:crosses val="autoZero"/>
        <c:auto val="1"/>
        <c:lblAlgn val="ctr"/>
        <c:lblOffset val="100"/>
        <c:noMultiLvlLbl val="0"/>
      </c:catAx>
      <c:valAx>
        <c:axId val="161462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1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Financial Analysis</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2"/>
          </a:solidFill>
        </a:ln>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Financial Analysis</a:t>
          </a:r>
        </a:p>
      </cx:txPr>
    </cx:title>
    <cx:plotArea>
      <cx:plotAreaRegion>
        <cx:series layoutId="funnel" uniqueId="{709BC02D-7F42-4F40-AD44-36359C35E196}">
          <cx:tx>
            <cx:txData>
              <cx:f>_xlchart.v2.1</cx:f>
              <cx:v>Amount</cx:v>
            </cx:txData>
          </cx:tx>
          <cx:dataLabels>
            <cx:visibility seriesName="0" categoryName="0" value="1"/>
          </cx:dataLabels>
          <cx:dataId val="0"/>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133350</xdr:rowOff>
    </xdr:from>
    <xdr:to>
      <xdr:col>13</xdr:col>
      <xdr:colOff>114300</xdr:colOff>
      <xdr:row>26</xdr:row>
      <xdr:rowOff>47625</xdr:rowOff>
    </xdr:to>
    <xdr:sp macro="" textlink="">
      <xdr:nvSpPr>
        <xdr:cNvPr id="2" name="TextBox 1">
          <a:extLst>
            <a:ext uri="{FF2B5EF4-FFF2-40B4-BE49-F238E27FC236}">
              <a16:creationId xmlns:a16="http://schemas.microsoft.com/office/drawing/2014/main" id="{4CE2AC31-DC1D-447F-96DD-6C45D0B8214E}"/>
            </a:ext>
          </a:extLst>
        </xdr:cNvPr>
        <xdr:cNvSpPr txBox="1"/>
      </xdr:nvSpPr>
      <xdr:spPr>
        <a:xfrm>
          <a:off x="190500" y="133350"/>
          <a:ext cx="7848600" cy="490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sng"/>
            <a:t>Use Pivot table for all tasks below: (1*10 =</a:t>
          </a:r>
          <a:r>
            <a:rPr lang="en-US" sz="1100" b="1" i="1" u="sng" baseline="0"/>
            <a:t> 10 points).</a:t>
          </a:r>
        </a:p>
        <a:p>
          <a:endParaRPr lang="en-US" sz="1100" b="1" i="1" u="sng" baseline="0"/>
        </a:p>
        <a:p>
          <a:r>
            <a:rPr lang="en-US" sz="1400" b="1" i="1" u="none" baseline="0">
              <a:solidFill>
                <a:srgbClr val="FF0000"/>
              </a:solidFill>
            </a:rPr>
            <a:t>Please do all tasks below in worksheet: Q1_Answers</a:t>
          </a:r>
          <a:endParaRPr lang="en-US" sz="1400" b="1" i="1" u="none">
            <a:solidFill>
              <a:srgbClr val="FF0000"/>
            </a:solidFill>
          </a:endParaRPr>
        </a:p>
        <a:p>
          <a:r>
            <a:rPr lang="en-US" sz="1100" b="1" i="1" u="sng"/>
            <a:t> </a:t>
          </a:r>
        </a:p>
        <a:p>
          <a:r>
            <a:rPr lang="en-US" sz="1100"/>
            <a:t>Task</a:t>
          </a:r>
          <a:r>
            <a:rPr lang="en-US" sz="1100" baseline="0"/>
            <a:t> 1: For this part of the task, you need to </a:t>
          </a:r>
          <a:r>
            <a:rPr lang="en-US" sz="1100" b="1" baseline="0"/>
            <a:t>acquire data </a:t>
          </a:r>
          <a:r>
            <a:rPr lang="en-US" sz="1100" baseline="0"/>
            <a:t>from web (Github) that is available at this link:</a:t>
          </a:r>
        </a:p>
        <a:p>
          <a:r>
            <a:rPr lang="en-US" sz="1100" baseline="0"/>
            <a:t>https://raw.githubusercontent.com/dipaish/cimages/main/data.csv </a:t>
          </a:r>
        </a:p>
        <a:p>
          <a:endParaRPr lang="en-US" sz="1100" baseline="0"/>
        </a:p>
        <a:p>
          <a:r>
            <a:rPr lang="en-US" sz="1100" baseline="0"/>
            <a:t>Task 2: Clean up the data. Your activities of cleaning can be removing unnecessary columns and duplicate values.  </a:t>
          </a:r>
        </a:p>
        <a:p>
          <a:endParaRPr lang="en-US" sz="1100" baseline="0"/>
        </a:p>
        <a:p>
          <a:r>
            <a:rPr lang="en-US" sz="1100" baseline="0"/>
            <a:t>Task 3:  Create a PivotTable and bar chart as in the diagram 1 from the data set that visualizes the sum of monthly revenue and the target per month.  </a:t>
          </a:r>
        </a:p>
        <a:p>
          <a:endParaRPr lang="en-US" sz="1100" baseline="0"/>
        </a:p>
        <a:p>
          <a:r>
            <a:rPr lang="en-US" sz="1100" baseline="0"/>
            <a:t>Task 4: Use conditional formatting "Color Scales" for the Revenue per Month column. Choose the "Blue-white-red". </a:t>
          </a:r>
        </a:p>
        <a:p>
          <a:endParaRPr lang="en-US" sz="1100" baseline="0"/>
        </a:p>
        <a:p>
          <a:r>
            <a:rPr lang="en-US" sz="1100" baseline="0"/>
            <a:t>Task 5: Copy the pivot table and add a new column which is the sum of Overall Performance.  Rename the column as Performance. </a:t>
          </a:r>
        </a:p>
        <a:p>
          <a:endParaRPr lang="en-US" sz="1100" baseline="0"/>
        </a:p>
        <a:p>
          <a:r>
            <a:rPr lang="en-US" sz="1100" baseline="0"/>
            <a:t>Task 6: For the performance column, use conditional formatting as the Icon type. For values that are greater than or equal to 600 use the gree icon, for values between 400 &amp; 600 yellow icon and for values below 400 red icon. </a:t>
          </a:r>
        </a:p>
        <a:p>
          <a:endParaRPr lang="en-US" sz="1100" baseline="0"/>
        </a:p>
        <a:p>
          <a:r>
            <a:rPr lang="en-US" sz="1100" baseline="0"/>
            <a:t>Task 7: Add slicers : price &amp; rainfall. </a:t>
          </a:r>
        </a:p>
        <a:p>
          <a:endParaRPr lang="en-US" sz="1100" baseline="0"/>
        </a:p>
        <a:p>
          <a:r>
            <a:rPr lang="en-US" sz="1100" baseline="0"/>
            <a:t>Task 8: Which month had the maximum of reveune in a single day ?</a:t>
          </a:r>
        </a:p>
        <a:p>
          <a:endParaRPr lang="en-US" sz="1100" baseline="0"/>
        </a:p>
        <a:p>
          <a:r>
            <a:rPr lang="en-US" sz="1100" baseline="0"/>
            <a:t>Task 9: Which month had the minimum of revenue in a single day?</a:t>
          </a:r>
        </a:p>
        <a:p>
          <a:endParaRPr lang="en-US" sz="1100" baseline="0"/>
        </a:p>
        <a:p>
          <a:r>
            <a:rPr lang="en-US" sz="1100" baseline="0"/>
            <a:t>Task 10:  List revenues on Monthly basis when the "rainfallcategory" is "Heavy"</a:t>
          </a:r>
        </a:p>
        <a:p>
          <a:endParaRPr lang="en-US" sz="1100" baseline="0"/>
        </a:p>
        <a:p>
          <a:endParaRPr lang="en-US" sz="1100" baseline="0"/>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0</xdr:row>
      <xdr:rowOff>38100</xdr:rowOff>
    </xdr:from>
    <xdr:to>
      <xdr:col>10</xdr:col>
      <xdr:colOff>476249</xdr:colOff>
      <xdr:row>1</xdr:row>
      <xdr:rowOff>171450</xdr:rowOff>
    </xdr:to>
    <xdr:sp macro="" textlink="">
      <xdr:nvSpPr>
        <xdr:cNvPr id="5" name="TextBox 4">
          <a:extLst>
            <a:ext uri="{FF2B5EF4-FFF2-40B4-BE49-F238E27FC236}">
              <a16:creationId xmlns:a16="http://schemas.microsoft.com/office/drawing/2014/main" id="{F17AB308-8F38-4C9E-85D4-8E65221198C9}"/>
            </a:ext>
          </a:extLst>
        </xdr:cNvPr>
        <xdr:cNvSpPr txBox="1"/>
      </xdr:nvSpPr>
      <xdr:spPr>
        <a:xfrm>
          <a:off x="38099" y="38100"/>
          <a:ext cx="80295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1. A project consists of 5 activties.</a:t>
          </a:r>
          <a:r>
            <a:rPr lang="en-US" sz="1100" b="1" baseline="0">
              <a:solidFill>
                <a:schemeClr val="dk1"/>
              </a:solidFill>
              <a:effectLst/>
              <a:latin typeface="+mn-lt"/>
              <a:ea typeface="+mn-ea"/>
              <a:cs typeface="+mn-cs"/>
            </a:rPr>
            <a:t> The start time and duration of each acttivity are given summarize this data in a Gant chart - 2 Points Points</a:t>
          </a:r>
          <a:endParaRPr lang="en-US">
            <a:effectLst/>
          </a:endParaRPr>
        </a:p>
        <a:p>
          <a:endParaRPr lang="en-US" sz="1100"/>
        </a:p>
      </xdr:txBody>
    </xdr:sp>
    <xdr:clientData/>
  </xdr:twoCellAnchor>
  <xdr:oneCellAnchor>
    <xdr:from>
      <xdr:col>0</xdr:col>
      <xdr:colOff>0</xdr:colOff>
      <xdr:row>9</xdr:row>
      <xdr:rowOff>95250</xdr:rowOff>
    </xdr:from>
    <xdr:ext cx="7162799" cy="436786"/>
    <xdr:sp macro="" textlink="">
      <xdr:nvSpPr>
        <xdr:cNvPr id="6" name="TextBox 5">
          <a:extLst>
            <a:ext uri="{FF2B5EF4-FFF2-40B4-BE49-F238E27FC236}">
              <a16:creationId xmlns:a16="http://schemas.microsoft.com/office/drawing/2014/main" id="{300E9DAE-30A8-4DE2-871A-4D88D56CF585}"/>
            </a:ext>
          </a:extLst>
        </xdr:cNvPr>
        <xdr:cNvSpPr txBox="1"/>
      </xdr:nvSpPr>
      <xdr:spPr>
        <a:xfrm>
          <a:off x="0" y="1809750"/>
          <a:ext cx="7162799" cy="436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2. The profit, revenue and cost breakdown for a year are given below. Summarize this data in a funnel chart.  - 2 Points</a:t>
          </a:r>
          <a:endParaRPr lang="en-US">
            <a:effectLst/>
          </a:endParaRPr>
        </a:p>
        <a:p>
          <a:endParaRPr lang="en-US" sz="1100"/>
        </a:p>
      </xdr:txBody>
    </xdr:sp>
    <xdr:clientData/>
  </xdr:oneCellAnchor>
  <xdr:oneCellAnchor>
    <xdr:from>
      <xdr:col>0</xdr:col>
      <xdr:colOff>0</xdr:colOff>
      <xdr:row>19</xdr:row>
      <xdr:rowOff>142875</xdr:rowOff>
    </xdr:from>
    <xdr:ext cx="6592317" cy="264560"/>
    <xdr:sp macro="" textlink="">
      <xdr:nvSpPr>
        <xdr:cNvPr id="7" name="TextBox 6">
          <a:extLst>
            <a:ext uri="{FF2B5EF4-FFF2-40B4-BE49-F238E27FC236}">
              <a16:creationId xmlns:a16="http://schemas.microsoft.com/office/drawing/2014/main" id="{2CC36688-BEF8-432D-9B93-210F713107A5}"/>
            </a:ext>
          </a:extLst>
        </xdr:cNvPr>
        <xdr:cNvSpPr txBox="1"/>
      </xdr:nvSpPr>
      <xdr:spPr>
        <a:xfrm>
          <a:off x="0" y="3762375"/>
          <a:ext cx="6592317"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100" b="1"/>
            <a:t>3. From the email addressess below, please split first name and last name into appropriate columns - 2 Points</a:t>
          </a:r>
        </a:p>
      </xdr:txBody>
    </xdr:sp>
    <xdr:clientData/>
  </xdr:oneCellAnchor>
  <xdr:oneCellAnchor>
    <xdr:from>
      <xdr:col>0</xdr:col>
      <xdr:colOff>0</xdr:colOff>
      <xdr:row>27</xdr:row>
      <xdr:rowOff>95250</xdr:rowOff>
    </xdr:from>
    <xdr:ext cx="6809941" cy="264560"/>
    <xdr:sp macro="" textlink="">
      <xdr:nvSpPr>
        <xdr:cNvPr id="8" name="TextBox 7">
          <a:extLst>
            <a:ext uri="{FF2B5EF4-FFF2-40B4-BE49-F238E27FC236}">
              <a16:creationId xmlns:a16="http://schemas.microsoft.com/office/drawing/2014/main" id="{4A7CC698-352E-4445-8DC6-02B2043E46BF}"/>
            </a:ext>
          </a:extLst>
        </xdr:cNvPr>
        <xdr:cNvSpPr txBox="1"/>
      </xdr:nvSpPr>
      <xdr:spPr>
        <a:xfrm>
          <a:off x="0" y="5248275"/>
          <a:ext cx="68099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 Use appropriate excel function to get the minimum and maximum number from the cell ranges below - 1 Point</a:t>
          </a:r>
        </a:p>
      </xdr:txBody>
    </xdr:sp>
    <xdr:clientData/>
  </xdr:oneCellAnchor>
  <xdr:twoCellAnchor>
    <xdr:from>
      <xdr:col>0</xdr:col>
      <xdr:colOff>0</xdr:colOff>
      <xdr:row>35</xdr:row>
      <xdr:rowOff>66675</xdr:rowOff>
    </xdr:from>
    <xdr:to>
      <xdr:col>7</xdr:col>
      <xdr:colOff>285750</xdr:colOff>
      <xdr:row>36</xdr:row>
      <xdr:rowOff>209549</xdr:rowOff>
    </xdr:to>
    <xdr:sp macro="" textlink="">
      <xdr:nvSpPr>
        <xdr:cNvPr id="9" name="TextBox 8">
          <a:extLst>
            <a:ext uri="{FF2B5EF4-FFF2-40B4-BE49-F238E27FC236}">
              <a16:creationId xmlns:a16="http://schemas.microsoft.com/office/drawing/2014/main" id="{362546A4-E018-4BAB-8A6B-CFC80E4D3772}"/>
            </a:ext>
          </a:extLst>
        </xdr:cNvPr>
        <xdr:cNvSpPr txBox="1"/>
      </xdr:nvSpPr>
      <xdr:spPr>
        <a:xfrm>
          <a:off x="0" y="6743700"/>
          <a:ext cx="6048375" cy="33337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t>5. Join firstname and last name to get full name in the full name column - 2 points</a:t>
          </a:r>
        </a:p>
      </xdr:txBody>
    </xdr:sp>
    <xdr:clientData/>
  </xdr:twoCellAnchor>
  <xdr:twoCellAnchor>
    <xdr:from>
      <xdr:col>0</xdr:col>
      <xdr:colOff>9525</xdr:colOff>
      <xdr:row>47</xdr:row>
      <xdr:rowOff>104775</xdr:rowOff>
    </xdr:from>
    <xdr:to>
      <xdr:col>9</xdr:col>
      <xdr:colOff>171450</xdr:colOff>
      <xdr:row>49</xdr:row>
      <xdr:rowOff>57149</xdr:rowOff>
    </xdr:to>
    <xdr:sp macro="" textlink="">
      <xdr:nvSpPr>
        <xdr:cNvPr id="10" name="TextBox 9">
          <a:extLst>
            <a:ext uri="{FF2B5EF4-FFF2-40B4-BE49-F238E27FC236}">
              <a16:creationId xmlns:a16="http://schemas.microsoft.com/office/drawing/2014/main" id="{6F57E174-0BE2-4EB0-A2E3-11C997797EC5}"/>
            </a:ext>
          </a:extLst>
        </xdr:cNvPr>
        <xdr:cNvSpPr txBox="1"/>
      </xdr:nvSpPr>
      <xdr:spPr>
        <a:xfrm>
          <a:off x="9525" y="9172575"/>
          <a:ext cx="7781925" cy="333374"/>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b="1"/>
            <a:t>6. Calculate</a:t>
          </a:r>
          <a:r>
            <a:rPr lang="en-US" sz="1100" b="1" baseline="0"/>
            <a:t> the grade for each student below based on the grading scalae on the right side.</a:t>
          </a:r>
          <a:r>
            <a:rPr lang="en-US" sz="1100" b="1"/>
            <a:t> - 2 points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228599</xdr:colOff>
      <xdr:row>15</xdr:row>
      <xdr:rowOff>66675</xdr:rowOff>
    </xdr:from>
    <xdr:to>
      <xdr:col>12</xdr:col>
      <xdr:colOff>447674</xdr:colOff>
      <xdr:row>30</xdr:row>
      <xdr:rowOff>161925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7F9CC68-93A5-424F-B763-E0F07FF3B0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57399" y="2924175"/>
              <a:ext cx="5705475" cy="295275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161925</xdr:colOff>
      <xdr:row>1</xdr:row>
      <xdr:rowOff>85725</xdr:rowOff>
    </xdr:from>
    <xdr:to>
      <xdr:col>12</xdr:col>
      <xdr:colOff>47625</xdr:colOff>
      <xdr:row>13</xdr:row>
      <xdr:rowOff>161925</xdr:rowOff>
    </xdr:to>
    <xdr:graphicFrame macro="">
      <xdr:nvGraphicFramePr>
        <xdr:cNvPr id="3" name="Chart 2">
          <a:extLst>
            <a:ext uri="{FF2B5EF4-FFF2-40B4-BE49-F238E27FC236}">
              <a16:creationId xmlns:a16="http://schemas.microsoft.com/office/drawing/2014/main" id="{61BD0175-91D8-427E-A0F0-E03DE0E27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11</xdr:col>
      <xdr:colOff>57150</xdr:colOff>
      <xdr:row>0</xdr:row>
      <xdr:rowOff>133350</xdr:rowOff>
    </xdr:from>
    <xdr:ext cx="4448175" cy="1743075"/>
    <xdr:sp macro="" textlink="">
      <xdr:nvSpPr>
        <xdr:cNvPr id="2" name="TextBox 1">
          <a:extLst>
            <a:ext uri="{FF2B5EF4-FFF2-40B4-BE49-F238E27FC236}">
              <a16:creationId xmlns:a16="http://schemas.microsoft.com/office/drawing/2014/main" id="{EFE1E30F-AE05-4B51-924B-1941274BF67B}"/>
            </a:ext>
          </a:extLst>
        </xdr:cNvPr>
        <xdr:cNvSpPr txBox="1"/>
      </xdr:nvSpPr>
      <xdr:spPr>
        <a:xfrm>
          <a:off x="9067800" y="133350"/>
          <a:ext cx="4448175" cy="1743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100" b="1"/>
            <a:t>Tasks  =</a:t>
          </a:r>
          <a:r>
            <a:rPr lang="en-US" sz="1100" b="1" baseline="0"/>
            <a:t> 5 Points</a:t>
          </a:r>
        </a:p>
        <a:p>
          <a:r>
            <a:rPr lang="en-US" sz="1100" b="1" baseline="0"/>
            <a:t>The data set on the right contains date, time in and time out for different employees. </a:t>
          </a:r>
          <a:endParaRPr lang="en-US" sz="1100" b="1"/>
        </a:p>
        <a:p>
          <a:r>
            <a:rPr lang="en-US" sz="1100"/>
            <a:t>1. Conver</a:t>
          </a:r>
          <a:r>
            <a:rPr lang="en-US" sz="1100" baseline="0"/>
            <a:t> the data on your right into two different  tables. Data 1 as table 1 and Data 2 as table 2 (1 Points). </a:t>
          </a:r>
        </a:p>
        <a:p>
          <a:r>
            <a:rPr lang="en-US" sz="1100" baseline="0"/>
            <a:t>2. Calculate total hours worked for each entity (Data 1).  (2 Points)</a:t>
          </a:r>
        </a:p>
        <a:p>
          <a:r>
            <a:rPr lang="en-US" sz="1100" baseline="0"/>
            <a:t>3.  Calculate total hours and total salary for each employee. (Data 2) (2 Points)</a:t>
          </a:r>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581025</xdr:colOff>
      <xdr:row>3</xdr:row>
      <xdr:rowOff>100013</xdr:rowOff>
    </xdr:from>
    <xdr:to>
      <xdr:col>7</xdr:col>
      <xdr:colOff>161925</xdr:colOff>
      <xdr:row>16</xdr:row>
      <xdr:rowOff>161926</xdr:rowOff>
    </xdr:to>
    <xdr:graphicFrame macro="">
      <xdr:nvGraphicFramePr>
        <xdr:cNvPr id="2" name="Chart 1">
          <a:extLst>
            <a:ext uri="{FF2B5EF4-FFF2-40B4-BE49-F238E27FC236}">
              <a16:creationId xmlns:a16="http://schemas.microsoft.com/office/drawing/2014/main" id="{05EB10D5-2E94-4BE9-952D-396D70CB3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295275</xdr:colOff>
      <xdr:row>24</xdr:row>
      <xdr:rowOff>19050</xdr:rowOff>
    </xdr:from>
    <xdr:to>
      <xdr:col>6</xdr:col>
      <xdr:colOff>1104900</xdr:colOff>
      <xdr:row>37</xdr:row>
      <xdr:rowOff>66675</xdr:rowOff>
    </xdr:to>
    <mc:AlternateContent xmlns:mc="http://schemas.openxmlformats.org/markup-compatibility/2006" xmlns:sle15="http://schemas.microsoft.com/office/drawing/2012/slicer">
      <mc:Choice Requires="sle15">
        <xdr:graphicFrame macro="">
          <xdr:nvGraphicFramePr>
            <xdr:cNvPr id="3" name="Rainfall">
              <a:extLst>
                <a:ext uri="{FF2B5EF4-FFF2-40B4-BE49-F238E27FC236}">
                  <a16:creationId xmlns:a16="http://schemas.microsoft.com/office/drawing/2014/main" id="{42E3AFA4-C3F3-42E9-ADDA-A5F508089720}"/>
                </a:ext>
              </a:extLst>
            </xdr:cNvPr>
            <xdr:cNvGraphicFramePr/>
          </xdr:nvGraphicFramePr>
          <xdr:xfrm>
            <a:off x="0" y="0"/>
            <a:ext cx="0" cy="0"/>
          </xdr:xfrm>
          <a:graphic>
            <a:graphicData uri="http://schemas.microsoft.com/office/drawing/2010/slicer">
              <sle:slicer xmlns:sle="http://schemas.microsoft.com/office/drawing/2010/slicer" name="Rainfall"/>
            </a:graphicData>
          </a:graphic>
        </xdr:graphicFrame>
      </mc:Choice>
      <mc:Fallback xmlns="">
        <xdr:sp macro="" textlink="">
          <xdr:nvSpPr>
            <xdr:cNvPr id="0" name=""/>
            <xdr:cNvSpPr>
              <a:spLocks noTextEdit="1"/>
            </xdr:cNvSpPr>
          </xdr:nvSpPr>
          <xdr:spPr>
            <a:xfrm>
              <a:off x="5600700" y="473392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1190625</xdr:colOff>
      <xdr:row>24</xdr:row>
      <xdr:rowOff>0</xdr:rowOff>
    </xdr:from>
    <xdr:to>
      <xdr:col>9</xdr:col>
      <xdr:colOff>200025</xdr:colOff>
      <xdr:row>37</xdr:row>
      <xdr:rowOff>47625</xdr:rowOff>
    </xdr:to>
    <mc:AlternateContent xmlns:mc="http://schemas.openxmlformats.org/markup-compatibility/2006" xmlns:sle15="http://schemas.microsoft.com/office/drawing/2012/slicer">
      <mc:Choice Requires="sle15">
        <xdr:graphicFrame macro="">
          <xdr:nvGraphicFramePr>
            <xdr:cNvPr id="4" name="Price">
              <a:extLst>
                <a:ext uri="{FF2B5EF4-FFF2-40B4-BE49-F238E27FC236}">
                  <a16:creationId xmlns:a16="http://schemas.microsoft.com/office/drawing/2014/main" id="{C2BB12E0-34AA-433A-B6D4-EEDD3EB0517F}"/>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7515225" y="4714875"/>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 Khurram Javid" refreshedDate="44512.556617939816" createdVersion="7" refreshedVersion="7" minRefreshableVersion="3" recordCount="387" xr:uid="{00A027BD-7A59-4C6E-B287-1A1E673F47C2}">
  <cacheSource type="worksheet">
    <worksheetSource name="data"/>
  </cacheSource>
  <cacheFields count="14">
    <cacheField name="Date" numFmtId="14">
      <sharedItems containsSemiMixedTypes="0" containsNonDate="0" containsDate="1" containsString="0" minDate="2017-01-01T00:00:00" maxDate="2018-01-01T00:00:00"/>
    </cacheField>
    <cacheField name="Month" numFmtId="0">
      <sharedItems count="12">
        <s v="Jan"/>
        <s v="Feb"/>
        <s v="Mar"/>
        <s v="Apr"/>
        <s v="May"/>
        <s v="Jun"/>
        <s v="Jul"/>
        <s v="Aug"/>
        <s v="Sep"/>
        <s v="Oct"/>
        <s v="Nov"/>
        <s v="Dec"/>
      </sharedItems>
    </cacheField>
    <cacheField name="Day" numFmtId="0">
      <sharedItems count="7">
        <s v="Sunday"/>
        <s v="Monday"/>
        <s v="Tuesday"/>
        <s v="Wednesday"/>
        <s v="Thursday"/>
        <s v="Friday"/>
        <s v="Saturday"/>
      </sharedItems>
    </cacheField>
    <cacheField name="Temperature" numFmtId="0">
      <sharedItems containsSemiMixedTypes="0" containsString="0" containsNumber="1" minValue="15.1" maxValue="102.9"/>
    </cacheField>
    <cacheField name="Rainfall" numFmtId="0">
      <sharedItems containsSemiMixedTypes="0" containsString="0" containsNumber="1" minValue="0" maxValue="2.5"/>
    </cacheField>
    <cacheField name="RainfallCategory" numFmtId="0">
      <sharedItems count="3">
        <s v="Heavy"/>
        <s v="Medium"/>
        <s v="None"/>
      </sharedItems>
    </cacheField>
    <cacheField name="Flyers" numFmtId="0">
      <sharedItems containsSemiMixedTypes="0" containsString="0" containsNumber="1" containsInteger="1" minValue="9" maxValue="80"/>
    </cacheField>
    <cacheField name="FlyerSuccess" numFmtId="0">
      <sharedItems/>
    </cacheField>
    <cacheField name="FlyerSuccessScore" numFmtId="0">
      <sharedItems containsSemiMixedTypes="0" containsString="0" containsNumber="1" containsInteger="1" minValue="5" maxValue="15"/>
    </cacheField>
    <cacheField name="Price" numFmtId="0">
      <sharedItems containsSemiMixedTypes="0" containsString="0" containsNumber="1" minValue="0.3" maxValue="0.5"/>
    </cacheField>
    <cacheField name="Sales" numFmtId="0">
      <sharedItems containsSemiMixedTypes="0" containsString="0" containsNumber="1" containsInteger="1" minValue="7" maxValue="43"/>
    </cacheField>
    <cacheField name="Target" numFmtId="0">
      <sharedItems containsSemiMixedTypes="0" containsString="0" containsNumber="1" containsInteger="1" minValue="8" maxValue="8" count="1">
        <n v="8"/>
      </sharedItems>
    </cacheField>
    <cacheField name="OverallPerformance" numFmtId="0">
      <sharedItems containsSemiMixedTypes="0" containsString="0" containsNumber="1" containsInteger="1" minValue="5" maxValue="25"/>
    </cacheField>
    <cacheField name="Revenue" numFmtId="0">
      <sharedItems containsSemiMixedTypes="0" containsString="0" containsNumber="1" minValue="2.1" maxValue="21.5" count="49">
        <n v="3"/>
        <n v="3.9"/>
        <n v="4.5"/>
        <n v="5.0999999999999996"/>
        <n v="5.4"/>
        <n v="3.3"/>
        <n v="3.6"/>
        <n v="4.2"/>
        <n v="4.8"/>
        <n v="6"/>
        <n v="6.3"/>
        <n v="6.6"/>
        <n v="5.7"/>
        <n v="6.9"/>
        <n v="7.2"/>
        <n v="7.5"/>
        <n v="7.8"/>
        <n v="8.1"/>
        <n v="8.4"/>
        <n v="8.6999999999999993"/>
        <n v="9"/>
        <n v="9.3000000000000007"/>
        <n v="9.9"/>
        <n v="10.5"/>
        <n v="11.4"/>
        <n v="9.6"/>
        <n v="10.199999999999999"/>
        <n v="10.8"/>
        <n v="11.7"/>
        <n v="12"/>
        <n v="12.3"/>
        <n v="11.1"/>
        <n v="12.6"/>
        <n v="21.5"/>
        <n v="19"/>
        <n v="17.5"/>
        <n v="17"/>
        <n v="16"/>
        <n v="19.5"/>
        <n v="16.5"/>
        <n v="20"/>
        <n v="20.5"/>
        <n v="18"/>
        <n v="21"/>
        <n v="18.5"/>
        <n v="15.5"/>
        <n v="15"/>
        <n v="14.5"/>
        <n v="2.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7">
  <r>
    <d v="2017-01-01T00:00:00"/>
    <x v="0"/>
    <x v="0"/>
    <n v="27"/>
    <n v="2"/>
    <x v="0"/>
    <n v="15"/>
    <s v="Low"/>
    <n v="5"/>
    <n v="0.3"/>
    <n v="10"/>
    <x v="0"/>
    <n v="5"/>
    <x v="0"/>
  </r>
  <r>
    <d v="2017-01-02T00:00:00"/>
    <x v="0"/>
    <x v="1"/>
    <n v="28.9"/>
    <n v="1.33"/>
    <x v="0"/>
    <n v="15"/>
    <s v="Low"/>
    <n v="5"/>
    <n v="0.3"/>
    <n v="13"/>
    <x v="0"/>
    <n v="5"/>
    <x v="1"/>
  </r>
  <r>
    <d v="2017-01-03T00:00:00"/>
    <x v="0"/>
    <x v="2"/>
    <n v="34.5"/>
    <n v="1.33"/>
    <x v="0"/>
    <n v="27"/>
    <s v="Medium"/>
    <n v="10"/>
    <n v="0.3"/>
    <n v="15"/>
    <x v="0"/>
    <n v="10"/>
    <x v="2"/>
  </r>
  <r>
    <d v="2017-01-04T00:00:00"/>
    <x v="0"/>
    <x v="3"/>
    <n v="44.1"/>
    <n v="1.05"/>
    <x v="0"/>
    <n v="28"/>
    <s v="Medium"/>
    <n v="10"/>
    <n v="0.3"/>
    <n v="17"/>
    <x v="0"/>
    <n v="10"/>
    <x v="3"/>
  </r>
  <r>
    <d v="2017-01-05T00:00:00"/>
    <x v="0"/>
    <x v="4"/>
    <n v="42.4"/>
    <n v="1"/>
    <x v="1"/>
    <n v="33"/>
    <s v="Medium"/>
    <n v="10"/>
    <n v="0.3"/>
    <n v="18"/>
    <x v="0"/>
    <n v="10"/>
    <x v="4"/>
  </r>
  <r>
    <d v="2017-01-06T00:00:00"/>
    <x v="0"/>
    <x v="5"/>
    <n v="25.3"/>
    <n v="1.54"/>
    <x v="0"/>
    <n v="23"/>
    <s v="Medium"/>
    <n v="10"/>
    <n v="0.3"/>
    <n v="11"/>
    <x v="0"/>
    <n v="10"/>
    <x v="5"/>
  </r>
  <r>
    <d v="2017-01-07T00:00:00"/>
    <x v="0"/>
    <x v="6"/>
    <n v="32.9"/>
    <n v="0"/>
    <x v="2"/>
    <n v="19"/>
    <s v="Low"/>
    <n v="5"/>
    <n v="0.3"/>
    <n v="13"/>
    <x v="0"/>
    <n v="5"/>
    <x v="1"/>
  </r>
  <r>
    <d v="2017-01-08T00:00:00"/>
    <x v="0"/>
    <x v="0"/>
    <n v="37.5"/>
    <n v="1.18"/>
    <x v="0"/>
    <n v="28"/>
    <s v="Medium"/>
    <n v="10"/>
    <n v="0.3"/>
    <n v="15"/>
    <x v="0"/>
    <n v="10"/>
    <x v="2"/>
  </r>
  <r>
    <d v="2017-01-09T00:00:00"/>
    <x v="0"/>
    <x v="1"/>
    <n v="38.1"/>
    <n v="1.18"/>
    <x v="0"/>
    <n v="20"/>
    <s v="Medium"/>
    <n v="10"/>
    <n v="0.3"/>
    <n v="17"/>
    <x v="0"/>
    <n v="10"/>
    <x v="3"/>
  </r>
  <r>
    <d v="2017-01-10T00:00:00"/>
    <x v="0"/>
    <x v="2"/>
    <n v="43.4"/>
    <n v="1.05"/>
    <x v="0"/>
    <n v="33"/>
    <s v="Medium"/>
    <n v="10"/>
    <n v="0.3"/>
    <n v="18"/>
    <x v="0"/>
    <n v="10"/>
    <x v="4"/>
  </r>
  <r>
    <d v="2017-01-11T00:00:00"/>
    <x v="0"/>
    <x v="3"/>
    <n v="32.6"/>
    <n v="1.54"/>
    <x v="0"/>
    <n v="23"/>
    <s v="Medium"/>
    <n v="10"/>
    <n v="0.3"/>
    <n v="12"/>
    <x v="0"/>
    <n v="10"/>
    <x v="6"/>
  </r>
  <r>
    <d v="2017-01-12T00:00:00"/>
    <x v="0"/>
    <x v="4"/>
    <n v="38.200000000000003"/>
    <n v="0"/>
    <x v="2"/>
    <n v="16"/>
    <s v="Low"/>
    <n v="5"/>
    <n v="0.3"/>
    <n v="14"/>
    <x v="0"/>
    <n v="5"/>
    <x v="7"/>
  </r>
  <r>
    <d v="2017-01-13T00:00:00"/>
    <x v="0"/>
    <x v="5"/>
    <n v="37.5"/>
    <n v="1.33"/>
    <x v="0"/>
    <n v="19"/>
    <s v="Low"/>
    <n v="5"/>
    <n v="0.3"/>
    <n v="15"/>
    <x v="0"/>
    <n v="5"/>
    <x v="2"/>
  </r>
  <r>
    <d v="2017-01-14T00:00:00"/>
    <x v="0"/>
    <x v="6"/>
    <n v="44.1"/>
    <n v="1.05"/>
    <x v="0"/>
    <n v="23"/>
    <s v="Medium"/>
    <n v="10"/>
    <n v="0.3"/>
    <n v="17"/>
    <x v="0"/>
    <n v="10"/>
    <x v="3"/>
  </r>
  <r>
    <d v="2017-01-15T00:00:00"/>
    <x v="0"/>
    <x v="0"/>
    <n v="43.4"/>
    <n v="0"/>
    <x v="2"/>
    <n v="33"/>
    <s v="Medium"/>
    <n v="10"/>
    <n v="0.3"/>
    <n v="18"/>
    <x v="0"/>
    <n v="10"/>
    <x v="4"/>
  </r>
  <r>
    <d v="2017-01-16T00:00:00"/>
    <x v="0"/>
    <x v="1"/>
    <n v="30.6"/>
    <n v="1.67"/>
    <x v="0"/>
    <n v="24"/>
    <s v="Medium"/>
    <n v="10"/>
    <n v="0.3"/>
    <n v="12"/>
    <x v="0"/>
    <n v="10"/>
    <x v="6"/>
  </r>
  <r>
    <d v="2017-01-17T00:00:00"/>
    <x v="0"/>
    <x v="2"/>
    <n v="32.200000000000003"/>
    <n v="1.43"/>
    <x v="0"/>
    <n v="26"/>
    <s v="Medium"/>
    <n v="10"/>
    <n v="0.3"/>
    <n v="14"/>
    <x v="0"/>
    <n v="10"/>
    <x v="7"/>
  </r>
  <r>
    <d v="2017-01-18T00:00:00"/>
    <x v="0"/>
    <x v="3"/>
    <n v="42.8"/>
    <n v="1.18"/>
    <x v="0"/>
    <n v="33"/>
    <s v="Medium"/>
    <n v="10"/>
    <n v="0.3"/>
    <n v="16"/>
    <x v="0"/>
    <n v="10"/>
    <x v="8"/>
  </r>
  <r>
    <d v="2017-01-19T00:00:00"/>
    <x v="0"/>
    <x v="4"/>
    <n v="43.1"/>
    <n v="1.18"/>
    <x v="0"/>
    <n v="30"/>
    <s v="Medium"/>
    <n v="10"/>
    <n v="0.3"/>
    <n v="17"/>
    <x v="0"/>
    <n v="10"/>
    <x v="3"/>
  </r>
  <r>
    <d v="2017-01-20T00:00:00"/>
    <x v="0"/>
    <x v="5"/>
    <n v="31.6"/>
    <n v="1.43"/>
    <x v="0"/>
    <n v="20"/>
    <s v="Medium"/>
    <n v="10"/>
    <n v="0.3"/>
    <n v="12"/>
    <x v="0"/>
    <n v="10"/>
    <x v="6"/>
  </r>
  <r>
    <d v="2017-01-21T00:00:00"/>
    <x v="0"/>
    <x v="6"/>
    <n v="36.200000000000003"/>
    <n v="1.25"/>
    <x v="0"/>
    <n v="16"/>
    <s v="Low"/>
    <n v="5"/>
    <n v="0.3"/>
    <n v="14"/>
    <x v="0"/>
    <n v="5"/>
    <x v="7"/>
  </r>
  <r>
    <d v="2017-01-22T00:00:00"/>
    <x v="0"/>
    <x v="0"/>
    <n v="40.799999999999997"/>
    <n v="1.1100000000000001"/>
    <x v="0"/>
    <n v="19"/>
    <s v="Low"/>
    <n v="5"/>
    <n v="0.3"/>
    <n v="16"/>
    <x v="0"/>
    <n v="5"/>
    <x v="8"/>
  </r>
  <r>
    <d v="2017-01-23T00:00:00"/>
    <x v="0"/>
    <x v="1"/>
    <n v="38.1"/>
    <n v="1.05"/>
    <x v="0"/>
    <n v="21"/>
    <s v="Medium"/>
    <n v="10"/>
    <n v="0.3"/>
    <n v="17"/>
    <x v="0"/>
    <n v="10"/>
    <x v="3"/>
  </r>
  <r>
    <d v="2017-01-24T00:00:00"/>
    <x v="0"/>
    <x v="2"/>
    <n v="28.6"/>
    <n v="0"/>
    <x v="2"/>
    <n v="20"/>
    <s v="Medium"/>
    <n v="10"/>
    <n v="0.3"/>
    <n v="12"/>
    <x v="0"/>
    <n v="10"/>
    <x v="6"/>
  </r>
  <r>
    <d v="2017-01-25T00:00:00"/>
    <x v="0"/>
    <x v="3"/>
    <n v="32.200000000000003"/>
    <n v="1.25"/>
    <x v="0"/>
    <n v="24"/>
    <s v="Medium"/>
    <n v="10"/>
    <n v="0.3"/>
    <n v="14"/>
    <x v="0"/>
    <n v="10"/>
    <x v="7"/>
  </r>
  <r>
    <d v="2017-01-26T00:00:00"/>
    <x v="0"/>
    <x v="4"/>
    <n v="35.799999999999997"/>
    <n v="1.25"/>
    <x v="0"/>
    <n v="18"/>
    <s v="Low"/>
    <n v="5"/>
    <n v="0.3"/>
    <n v="16"/>
    <x v="0"/>
    <n v="5"/>
    <x v="8"/>
  </r>
  <r>
    <d v="2017-01-27T00:00:00"/>
    <x v="0"/>
    <x v="5"/>
    <n v="42.1"/>
    <n v="1.05"/>
    <x v="0"/>
    <n v="22"/>
    <s v="Medium"/>
    <n v="10"/>
    <n v="0.3"/>
    <n v="17"/>
    <x v="0"/>
    <n v="10"/>
    <x v="3"/>
  </r>
  <r>
    <d v="2017-01-28T00:00:00"/>
    <x v="0"/>
    <x v="6"/>
    <n v="34.9"/>
    <n v="1.33"/>
    <x v="0"/>
    <n v="15"/>
    <s v="Low"/>
    <n v="5"/>
    <n v="0.3"/>
    <n v="13"/>
    <x v="0"/>
    <n v="5"/>
    <x v="1"/>
  </r>
  <r>
    <d v="2017-01-29T00:00:00"/>
    <x v="0"/>
    <x v="0"/>
    <n v="35.200000000000003"/>
    <n v="0"/>
    <x v="2"/>
    <n v="27"/>
    <s v="Medium"/>
    <n v="10"/>
    <n v="0.3"/>
    <n v="14"/>
    <x v="0"/>
    <n v="10"/>
    <x v="7"/>
  </r>
  <r>
    <d v="2017-01-30T00:00:00"/>
    <x v="0"/>
    <x v="1"/>
    <n v="41.1"/>
    <n v="1.05"/>
    <x v="0"/>
    <n v="20"/>
    <s v="Medium"/>
    <n v="10"/>
    <n v="0.3"/>
    <n v="17"/>
    <x v="0"/>
    <n v="10"/>
    <x v="3"/>
  </r>
  <r>
    <d v="2017-01-31T00:00:00"/>
    <x v="0"/>
    <x v="2"/>
    <n v="40.4"/>
    <n v="1.05"/>
    <x v="0"/>
    <n v="37"/>
    <s v="Medium"/>
    <n v="10"/>
    <n v="0.3"/>
    <n v="18"/>
    <x v="0"/>
    <n v="10"/>
    <x v="4"/>
  </r>
  <r>
    <d v="2017-02-01T00:00:00"/>
    <x v="1"/>
    <x v="3"/>
    <n v="42.4"/>
    <n v="1"/>
    <x v="1"/>
    <n v="35"/>
    <s v="Medium"/>
    <n v="10"/>
    <n v="0.3"/>
    <n v="18"/>
    <x v="0"/>
    <n v="10"/>
    <x v="4"/>
  </r>
  <r>
    <d v="2017-02-02T00:00:00"/>
    <x v="1"/>
    <x v="4"/>
    <n v="52"/>
    <n v="1"/>
    <x v="1"/>
    <n v="22"/>
    <s v="Medium"/>
    <n v="10"/>
    <n v="0.3"/>
    <n v="20"/>
    <x v="0"/>
    <n v="10"/>
    <x v="9"/>
  </r>
  <r>
    <d v="2017-02-03T00:00:00"/>
    <x v="1"/>
    <x v="5"/>
    <n v="50.3"/>
    <n v="0.87"/>
    <x v="1"/>
    <n v="25"/>
    <s v="Medium"/>
    <n v="10"/>
    <n v="0.3"/>
    <n v="21"/>
    <x v="0"/>
    <n v="10"/>
    <x v="10"/>
  </r>
  <r>
    <d v="2017-02-04T00:00:00"/>
    <x v="1"/>
    <x v="6"/>
    <n v="56.6"/>
    <n v="0.83"/>
    <x v="1"/>
    <n v="46"/>
    <s v="High"/>
    <n v="15"/>
    <n v="0.3"/>
    <n v="22"/>
    <x v="0"/>
    <n v="15"/>
    <x v="11"/>
  </r>
  <r>
    <d v="2017-02-05T00:00:00"/>
    <x v="1"/>
    <x v="0"/>
    <n v="45.4"/>
    <n v="1.1100000000000001"/>
    <x v="0"/>
    <n v="32"/>
    <s v="Medium"/>
    <n v="10"/>
    <n v="0.3"/>
    <n v="18"/>
    <x v="0"/>
    <n v="10"/>
    <x v="4"/>
  </r>
  <r>
    <d v="2017-02-06T00:00:00"/>
    <x v="1"/>
    <x v="1"/>
    <n v="45"/>
    <n v="0.95"/>
    <x v="1"/>
    <n v="28"/>
    <s v="Medium"/>
    <n v="10"/>
    <n v="0.3"/>
    <n v="20"/>
    <x v="0"/>
    <n v="10"/>
    <x v="9"/>
  </r>
  <r>
    <d v="2017-02-07T00:00:00"/>
    <x v="1"/>
    <x v="2"/>
    <n v="52.3"/>
    <n v="0.87"/>
    <x v="1"/>
    <n v="39"/>
    <s v="Medium"/>
    <n v="10"/>
    <n v="0.3"/>
    <n v="21"/>
    <x v="0"/>
    <n v="10"/>
    <x v="10"/>
  </r>
  <r>
    <d v="2017-02-08T00:00:00"/>
    <x v="1"/>
    <x v="3"/>
    <n v="52.6"/>
    <n v="0.87"/>
    <x v="1"/>
    <n v="31"/>
    <s v="Medium"/>
    <n v="10"/>
    <n v="0.3"/>
    <n v="22"/>
    <x v="0"/>
    <n v="10"/>
    <x v="11"/>
  </r>
  <r>
    <d v="2017-02-09T00:00:00"/>
    <x v="1"/>
    <x v="4"/>
    <n v="42.7"/>
    <n v="1"/>
    <x v="1"/>
    <n v="39"/>
    <s v="Medium"/>
    <n v="10"/>
    <n v="0.3"/>
    <n v="19"/>
    <x v="0"/>
    <n v="10"/>
    <x v="12"/>
  </r>
  <r>
    <d v="2017-02-10T00:00:00"/>
    <x v="1"/>
    <x v="5"/>
    <n v="50"/>
    <n v="0.91"/>
    <x v="1"/>
    <n v="40"/>
    <s v="Medium"/>
    <n v="10"/>
    <n v="0.3"/>
    <n v="20"/>
    <x v="0"/>
    <n v="10"/>
    <x v="9"/>
  </r>
  <r>
    <d v="2017-02-11T00:00:00"/>
    <x v="1"/>
    <x v="6"/>
    <n v="51.3"/>
    <n v="0.91"/>
    <x v="1"/>
    <n v="35"/>
    <s v="Medium"/>
    <n v="10"/>
    <n v="0.3"/>
    <n v="21"/>
    <x v="0"/>
    <n v="10"/>
    <x v="10"/>
  </r>
  <r>
    <d v="2017-02-12T00:00:00"/>
    <x v="1"/>
    <x v="0"/>
    <n v="55.6"/>
    <n v="0.83"/>
    <x v="1"/>
    <n v="41"/>
    <s v="High"/>
    <n v="15"/>
    <n v="0.3"/>
    <n v="22"/>
    <x v="0"/>
    <n v="15"/>
    <x v="11"/>
  </r>
  <r>
    <d v="2017-02-13T00:00:00"/>
    <x v="1"/>
    <x v="1"/>
    <n v="46.4"/>
    <n v="1.1100000000000001"/>
    <x v="0"/>
    <n v="34"/>
    <s v="Medium"/>
    <n v="10"/>
    <n v="0.3"/>
    <n v="18"/>
    <x v="0"/>
    <n v="10"/>
    <x v="4"/>
  </r>
  <r>
    <d v="2017-02-14T00:00:00"/>
    <x v="1"/>
    <x v="2"/>
    <n v="47.7"/>
    <n v="0.95"/>
    <x v="1"/>
    <n v="35"/>
    <s v="Medium"/>
    <n v="10"/>
    <n v="0.3"/>
    <n v="19"/>
    <x v="0"/>
    <n v="10"/>
    <x v="12"/>
  </r>
  <r>
    <d v="2017-02-15T00:00:00"/>
    <x v="1"/>
    <x v="3"/>
    <n v="52"/>
    <n v="0.91"/>
    <x v="1"/>
    <n v="33"/>
    <s v="Medium"/>
    <n v="10"/>
    <n v="0.3"/>
    <n v="20"/>
    <x v="0"/>
    <n v="10"/>
    <x v="9"/>
  </r>
  <r>
    <d v="2017-02-16T00:00:00"/>
    <x v="1"/>
    <x v="4"/>
    <n v="47.3"/>
    <n v="0.87"/>
    <x v="1"/>
    <n v="31"/>
    <s v="Medium"/>
    <n v="10"/>
    <n v="0.3"/>
    <n v="21"/>
    <x v="0"/>
    <n v="10"/>
    <x v="10"/>
  </r>
  <r>
    <d v="2017-02-17T00:00:00"/>
    <x v="1"/>
    <x v="5"/>
    <n v="40.4"/>
    <n v="1"/>
    <x v="1"/>
    <n v="29"/>
    <s v="Medium"/>
    <n v="10"/>
    <n v="0.3"/>
    <n v="18"/>
    <x v="0"/>
    <n v="10"/>
    <x v="4"/>
  </r>
  <r>
    <d v="2017-02-18T00:00:00"/>
    <x v="1"/>
    <x v="6"/>
    <n v="43.7"/>
    <n v="0.95"/>
    <x v="1"/>
    <n v="25"/>
    <s v="Medium"/>
    <n v="10"/>
    <n v="0.3"/>
    <n v="19"/>
    <x v="0"/>
    <n v="10"/>
    <x v="12"/>
  </r>
  <r>
    <d v="2017-02-19T00:00:00"/>
    <x v="1"/>
    <x v="0"/>
    <n v="50"/>
    <n v="0.95"/>
    <x v="1"/>
    <n v="28"/>
    <s v="Medium"/>
    <n v="10"/>
    <n v="0.3"/>
    <n v="20"/>
    <x v="0"/>
    <n v="10"/>
    <x v="9"/>
  </r>
  <r>
    <d v="2017-02-20T00:00:00"/>
    <x v="1"/>
    <x v="1"/>
    <n v="50.3"/>
    <n v="0.95"/>
    <x v="1"/>
    <n v="25"/>
    <s v="Medium"/>
    <n v="10"/>
    <n v="0.3"/>
    <n v="21"/>
    <x v="0"/>
    <n v="10"/>
    <x v="10"/>
  </r>
  <r>
    <d v="2017-02-21T00:00:00"/>
    <x v="1"/>
    <x v="2"/>
    <n v="42.4"/>
    <n v="1"/>
    <x v="1"/>
    <n v="28"/>
    <s v="Medium"/>
    <n v="10"/>
    <n v="0.3"/>
    <n v="18"/>
    <x v="0"/>
    <n v="10"/>
    <x v="4"/>
  </r>
  <r>
    <d v="2017-02-22T00:00:00"/>
    <x v="1"/>
    <x v="3"/>
    <n v="47.7"/>
    <n v="0.95"/>
    <x v="1"/>
    <n v="36"/>
    <s v="Medium"/>
    <n v="10"/>
    <n v="0.3"/>
    <n v="19"/>
    <x v="0"/>
    <n v="10"/>
    <x v="12"/>
  </r>
  <r>
    <d v="2017-02-23T00:00:00"/>
    <x v="1"/>
    <x v="4"/>
    <n v="45"/>
    <n v="1"/>
    <x v="1"/>
    <n v="23"/>
    <s v="Medium"/>
    <n v="10"/>
    <n v="0.3"/>
    <n v="20"/>
    <x v="0"/>
    <n v="10"/>
    <x v="9"/>
  </r>
  <r>
    <d v="2017-02-24T00:00:00"/>
    <x v="1"/>
    <x v="5"/>
    <n v="47.3"/>
    <n v="0.87"/>
    <x v="1"/>
    <n v="36"/>
    <s v="Medium"/>
    <n v="10"/>
    <n v="0.3"/>
    <n v="21"/>
    <x v="0"/>
    <n v="10"/>
    <x v="10"/>
  </r>
  <r>
    <d v="2017-02-25T00:00:00"/>
    <x v="1"/>
    <x v="6"/>
    <n v="42.4"/>
    <n v="1"/>
    <x v="1"/>
    <n v="21"/>
    <s v="Medium"/>
    <n v="10"/>
    <n v="0.3"/>
    <n v="18"/>
    <x v="0"/>
    <n v="10"/>
    <x v="4"/>
  </r>
  <r>
    <d v="2017-02-26T00:00:00"/>
    <x v="1"/>
    <x v="0"/>
    <n v="48.7"/>
    <n v="1.05"/>
    <x v="0"/>
    <n v="32"/>
    <s v="Medium"/>
    <n v="10"/>
    <n v="0.3"/>
    <n v="19"/>
    <x v="0"/>
    <n v="10"/>
    <x v="12"/>
  </r>
  <r>
    <d v="2017-02-27T00:00:00"/>
    <x v="1"/>
    <x v="1"/>
    <n v="45"/>
    <n v="1"/>
    <x v="1"/>
    <n v="34"/>
    <s v="Medium"/>
    <n v="10"/>
    <n v="0.3"/>
    <n v="20"/>
    <x v="0"/>
    <n v="10"/>
    <x v="9"/>
  </r>
  <r>
    <d v="2017-02-28T00:00:00"/>
    <x v="1"/>
    <x v="2"/>
    <n v="49.6"/>
    <n v="0.91"/>
    <x v="1"/>
    <n v="45"/>
    <s v="High"/>
    <n v="15"/>
    <n v="0.3"/>
    <n v="22"/>
    <x v="0"/>
    <n v="15"/>
    <x v="11"/>
  </r>
  <r>
    <d v="2017-03-01T00:00:00"/>
    <x v="2"/>
    <x v="3"/>
    <n v="57.9"/>
    <n v="0.87"/>
    <x v="1"/>
    <n v="46"/>
    <s v="High"/>
    <n v="15"/>
    <n v="0.3"/>
    <n v="23"/>
    <x v="0"/>
    <n v="15"/>
    <x v="13"/>
  </r>
  <r>
    <d v="2017-03-02T00:00:00"/>
    <x v="2"/>
    <x v="4"/>
    <n v="57.2"/>
    <n v="0.8"/>
    <x v="1"/>
    <n v="31"/>
    <s v="Medium"/>
    <n v="10"/>
    <n v="0.3"/>
    <n v="24"/>
    <x v="0"/>
    <n v="10"/>
    <x v="14"/>
  </r>
  <r>
    <d v="2017-03-03T00:00:00"/>
    <x v="2"/>
    <x v="5"/>
    <n v="60.2"/>
    <n v="0.77"/>
    <x v="1"/>
    <n v="28"/>
    <s v="Medium"/>
    <n v="10"/>
    <n v="0.3"/>
    <n v="24"/>
    <x v="0"/>
    <n v="10"/>
    <x v="14"/>
  </r>
  <r>
    <d v="2017-03-04T00:00:00"/>
    <x v="2"/>
    <x v="6"/>
    <n v="59.5"/>
    <n v="0.77"/>
    <x v="1"/>
    <n v="29"/>
    <s v="Medium"/>
    <n v="10"/>
    <n v="0.3"/>
    <n v="25"/>
    <x v="0"/>
    <n v="10"/>
    <x v="15"/>
  </r>
  <r>
    <d v="2017-03-05T00:00:00"/>
    <x v="2"/>
    <x v="0"/>
    <n v="55.9"/>
    <n v="0.87"/>
    <x v="1"/>
    <n v="32"/>
    <s v="Medium"/>
    <n v="10"/>
    <n v="0.3"/>
    <n v="23"/>
    <x v="0"/>
    <n v="10"/>
    <x v="13"/>
  </r>
  <r>
    <d v="2017-03-06T00:00:00"/>
    <x v="2"/>
    <x v="1"/>
    <n v="61.2"/>
    <n v="0.77"/>
    <x v="1"/>
    <n v="28"/>
    <s v="Medium"/>
    <n v="10"/>
    <n v="0.3"/>
    <n v="24"/>
    <x v="0"/>
    <n v="10"/>
    <x v="14"/>
  </r>
  <r>
    <d v="2017-03-07T00:00:00"/>
    <x v="2"/>
    <x v="2"/>
    <n v="60.2"/>
    <n v="0.77"/>
    <x v="1"/>
    <n v="32"/>
    <s v="Medium"/>
    <n v="10"/>
    <n v="0.3"/>
    <n v="24"/>
    <x v="0"/>
    <n v="10"/>
    <x v="14"/>
  </r>
  <r>
    <d v="2017-03-08T00:00:00"/>
    <x v="2"/>
    <x v="3"/>
    <n v="58.5"/>
    <n v="0.77"/>
    <x v="1"/>
    <n v="43"/>
    <s v="High"/>
    <n v="15"/>
    <n v="0.3"/>
    <n v="25"/>
    <x v="0"/>
    <n v="15"/>
    <x v="15"/>
  </r>
  <r>
    <d v="2017-03-09T00:00:00"/>
    <x v="2"/>
    <x v="4"/>
    <n v="52.9"/>
    <n v="0.8"/>
    <x v="1"/>
    <n v="29"/>
    <s v="Medium"/>
    <n v="10"/>
    <n v="0.3"/>
    <n v="23"/>
    <x v="0"/>
    <n v="10"/>
    <x v="13"/>
  </r>
  <r>
    <d v="2017-03-10T00:00:00"/>
    <x v="2"/>
    <x v="5"/>
    <n v="59.2"/>
    <n v="0.83"/>
    <x v="1"/>
    <n v="31"/>
    <s v="Medium"/>
    <n v="10"/>
    <n v="0.3"/>
    <n v="24"/>
    <x v="0"/>
    <n v="10"/>
    <x v="14"/>
  </r>
  <r>
    <d v="2017-03-11T00:00:00"/>
    <x v="2"/>
    <x v="6"/>
    <n v="58.2"/>
    <n v="0.83"/>
    <x v="1"/>
    <n v="30"/>
    <s v="Medium"/>
    <n v="10"/>
    <n v="0.3"/>
    <n v="24"/>
    <x v="0"/>
    <n v="10"/>
    <x v="14"/>
  </r>
  <r>
    <d v="2017-03-12T00:00:00"/>
    <x v="2"/>
    <x v="0"/>
    <n v="61.5"/>
    <n v="0.74"/>
    <x v="1"/>
    <n v="47"/>
    <s v="High"/>
    <n v="15"/>
    <n v="0.3"/>
    <n v="25"/>
    <x v="0"/>
    <n v="15"/>
    <x v="15"/>
  </r>
  <r>
    <d v="2017-03-13T00:00:00"/>
    <x v="2"/>
    <x v="1"/>
    <n v="55.9"/>
    <n v="0.87"/>
    <x v="1"/>
    <n v="48"/>
    <s v="High"/>
    <n v="15"/>
    <n v="0.3"/>
    <n v="23"/>
    <x v="0"/>
    <n v="15"/>
    <x v="13"/>
  </r>
  <r>
    <d v="2017-03-14T00:00:00"/>
    <x v="2"/>
    <x v="2"/>
    <n v="58.9"/>
    <n v="0.87"/>
    <x v="1"/>
    <n v="35"/>
    <s v="Medium"/>
    <n v="10"/>
    <n v="0.3"/>
    <n v="23"/>
    <x v="0"/>
    <n v="10"/>
    <x v="13"/>
  </r>
  <r>
    <d v="2017-03-15T00:00:00"/>
    <x v="2"/>
    <x v="3"/>
    <n v="56.2"/>
    <n v="0.83"/>
    <x v="1"/>
    <n v="30"/>
    <s v="Medium"/>
    <n v="10"/>
    <n v="0.3"/>
    <n v="24"/>
    <x v="0"/>
    <n v="10"/>
    <x v="14"/>
  </r>
  <r>
    <d v="2017-03-16T00:00:00"/>
    <x v="2"/>
    <x v="4"/>
    <n v="60.2"/>
    <n v="0.83"/>
    <x v="1"/>
    <n v="39"/>
    <s v="Medium"/>
    <n v="10"/>
    <n v="0.3"/>
    <n v="24"/>
    <x v="0"/>
    <n v="10"/>
    <x v="14"/>
  </r>
  <r>
    <d v="2017-03-17T00:00:00"/>
    <x v="2"/>
    <x v="5"/>
    <n v="56.5"/>
    <n v="0.77"/>
    <x v="1"/>
    <n v="50"/>
    <s v="High"/>
    <n v="15"/>
    <n v="0.3"/>
    <n v="25"/>
    <x v="0"/>
    <n v="15"/>
    <x v="15"/>
  </r>
  <r>
    <d v="2017-03-18T00:00:00"/>
    <x v="2"/>
    <x v="6"/>
    <n v="53.9"/>
    <n v="0.83"/>
    <x v="1"/>
    <n v="32"/>
    <s v="Medium"/>
    <n v="10"/>
    <n v="0.3"/>
    <n v="23"/>
    <x v="0"/>
    <n v="10"/>
    <x v="13"/>
  </r>
  <r>
    <d v="2017-03-19T00:00:00"/>
    <x v="2"/>
    <x v="0"/>
    <n v="56.9"/>
    <n v="0.83"/>
    <x v="1"/>
    <n v="38"/>
    <s v="Medium"/>
    <n v="10"/>
    <n v="0.3"/>
    <n v="23"/>
    <x v="0"/>
    <n v="10"/>
    <x v="13"/>
  </r>
  <r>
    <d v="2017-03-20T00:00:00"/>
    <x v="2"/>
    <x v="1"/>
    <n v="58.2"/>
    <n v="0.77"/>
    <x v="1"/>
    <n v="33"/>
    <s v="Medium"/>
    <n v="10"/>
    <n v="0.3"/>
    <n v="24"/>
    <x v="0"/>
    <n v="10"/>
    <x v="14"/>
  </r>
  <r>
    <d v="2017-03-21T00:00:00"/>
    <x v="2"/>
    <x v="2"/>
    <n v="57.2"/>
    <n v="0.83"/>
    <x v="1"/>
    <n v="36"/>
    <s v="Medium"/>
    <n v="10"/>
    <n v="0.3"/>
    <n v="24"/>
    <x v="0"/>
    <n v="10"/>
    <x v="14"/>
  </r>
  <r>
    <d v="2017-03-22T00:00:00"/>
    <x v="2"/>
    <x v="3"/>
    <n v="56.5"/>
    <n v="0.74"/>
    <x v="1"/>
    <n v="38"/>
    <s v="Medium"/>
    <n v="10"/>
    <n v="0.3"/>
    <n v="25"/>
    <x v="0"/>
    <n v="10"/>
    <x v="15"/>
  </r>
  <r>
    <d v="2017-03-23T00:00:00"/>
    <x v="2"/>
    <x v="4"/>
    <n v="55.9"/>
    <n v="0.87"/>
    <x v="1"/>
    <n v="35"/>
    <s v="Medium"/>
    <n v="10"/>
    <n v="0.3"/>
    <n v="23"/>
    <x v="0"/>
    <n v="10"/>
    <x v="13"/>
  </r>
  <r>
    <d v="2017-03-24T00:00:00"/>
    <x v="2"/>
    <x v="5"/>
    <n v="56.9"/>
    <n v="0.83"/>
    <x v="1"/>
    <n v="41"/>
    <s v="High"/>
    <n v="15"/>
    <n v="0.3"/>
    <n v="23"/>
    <x v="0"/>
    <n v="15"/>
    <x v="13"/>
  </r>
  <r>
    <d v="2017-03-25T00:00:00"/>
    <x v="2"/>
    <x v="6"/>
    <n v="58.2"/>
    <n v="0.8"/>
    <x v="1"/>
    <n v="50"/>
    <s v="High"/>
    <n v="15"/>
    <n v="0.3"/>
    <n v="24"/>
    <x v="0"/>
    <n v="15"/>
    <x v="14"/>
  </r>
  <r>
    <d v="2017-03-26T00:00:00"/>
    <x v="2"/>
    <x v="0"/>
    <n v="59.5"/>
    <n v="0.77"/>
    <x v="1"/>
    <n v="39"/>
    <s v="Medium"/>
    <n v="10"/>
    <n v="0.3"/>
    <n v="25"/>
    <x v="0"/>
    <n v="10"/>
    <x v="15"/>
  </r>
  <r>
    <d v="2017-03-27T00:00:00"/>
    <x v="2"/>
    <x v="1"/>
    <n v="60.5"/>
    <n v="0.74"/>
    <x v="1"/>
    <n v="30"/>
    <s v="Medium"/>
    <n v="10"/>
    <n v="0.3"/>
    <n v="25"/>
    <x v="0"/>
    <n v="10"/>
    <x v="15"/>
  </r>
  <r>
    <d v="2017-03-28T00:00:00"/>
    <x v="2"/>
    <x v="2"/>
    <n v="55.9"/>
    <n v="0.83"/>
    <x v="1"/>
    <n v="48"/>
    <s v="High"/>
    <n v="15"/>
    <n v="0.3"/>
    <n v="23"/>
    <x v="0"/>
    <n v="15"/>
    <x v="13"/>
  </r>
  <r>
    <d v="2017-03-29T00:00:00"/>
    <x v="2"/>
    <x v="3"/>
    <n v="57.2"/>
    <n v="0.83"/>
    <x v="1"/>
    <n v="39"/>
    <s v="Medium"/>
    <n v="10"/>
    <n v="0.3"/>
    <n v="24"/>
    <x v="0"/>
    <n v="10"/>
    <x v="14"/>
  </r>
  <r>
    <d v="2017-03-30T00:00:00"/>
    <x v="2"/>
    <x v="4"/>
    <n v="55.2"/>
    <n v="0.8"/>
    <x v="1"/>
    <n v="47"/>
    <s v="High"/>
    <n v="15"/>
    <n v="0.3"/>
    <n v="24"/>
    <x v="0"/>
    <n v="15"/>
    <x v="14"/>
  </r>
  <r>
    <d v="2017-03-31T00:00:00"/>
    <x v="2"/>
    <x v="5"/>
    <n v="58.5"/>
    <n v="0.77"/>
    <x v="1"/>
    <n v="48"/>
    <s v="High"/>
    <n v="15"/>
    <n v="0.3"/>
    <n v="25"/>
    <x v="0"/>
    <n v="15"/>
    <x v="15"/>
  </r>
  <r>
    <d v="2017-04-01T00:00:00"/>
    <x v="3"/>
    <x v="6"/>
    <n v="57.5"/>
    <n v="0.8"/>
    <x v="1"/>
    <n v="33"/>
    <s v="Medium"/>
    <n v="10"/>
    <n v="0.3"/>
    <n v="25"/>
    <x v="0"/>
    <n v="10"/>
    <x v="15"/>
  </r>
  <r>
    <d v="2017-04-02T00:00:00"/>
    <x v="3"/>
    <x v="0"/>
    <n v="65.8"/>
    <n v="0.74"/>
    <x v="1"/>
    <n v="47"/>
    <s v="High"/>
    <n v="15"/>
    <n v="0.3"/>
    <n v="26"/>
    <x v="0"/>
    <n v="15"/>
    <x v="16"/>
  </r>
  <r>
    <d v="2017-04-03T00:00:00"/>
    <x v="3"/>
    <x v="1"/>
    <n v="60.8"/>
    <n v="0.74"/>
    <x v="1"/>
    <n v="51"/>
    <s v="High"/>
    <n v="15"/>
    <n v="0.3"/>
    <n v="26"/>
    <x v="0"/>
    <n v="15"/>
    <x v="16"/>
  </r>
  <r>
    <d v="2017-04-04T00:00:00"/>
    <x v="3"/>
    <x v="2"/>
    <n v="62.1"/>
    <n v="0.71"/>
    <x v="1"/>
    <n v="31"/>
    <s v="Medium"/>
    <n v="10"/>
    <n v="0.3"/>
    <n v="27"/>
    <x v="0"/>
    <n v="20"/>
    <x v="17"/>
  </r>
  <r>
    <d v="2017-04-05T00:00:00"/>
    <x v="3"/>
    <x v="3"/>
    <n v="64.400000000000006"/>
    <n v="0.71"/>
    <x v="1"/>
    <n v="33"/>
    <s v="Medium"/>
    <n v="10"/>
    <n v="0.3"/>
    <n v="28"/>
    <x v="0"/>
    <n v="20"/>
    <x v="18"/>
  </r>
  <r>
    <d v="2017-04-06T00:00:00"/>
    <x v="3"/>
    <x v="4"/>
    <n v="57.5"/>
    <n v="0.8"/>
    <x v="1"/>
    <n v="31"/>
    <s v="Medium"/>
    <n v="10"/>
    <n v="0.3"/>
    <n v="25"/>
    <x v="0"/>
    <n v="10"/>
    <x v="15"/>
  </r>
  <r>
    <d v="2017-04-07T00:00:00"/>
    <x v="3"/>
    <x v="5"/>
    <n v="59.8"/>
    <n v="0.74"/>
    <x v="1"/>
    <n v="44"/>
    <s v="High"/>
    <n v="15"/>
    <n v="0.3"/>
    <n v="26"/>
    <x v="0"/>
    <n v="15"/>
    <x v="16"/>
  </r>
  <r>
    <d v="2017-04-08T00:00:00"/>
    <x v="3"/>
    <x v="6"/>
    <n v="63.8"/>
    <n v="0.74"/>
    <x v="1"/>
    <n v="37"/>
    <s v="Medium"/>
    <n v="10"/>
    <n v="0.3"/>
    <n v="26"/>
    <x v="0"/>
    <n v="10"/>
    <x v="16"/>
  </r>
  <r>
    <d v="2017-04-09T00:00:00"/>
    <x v="3"/>
    <x v="0"/>
    <n v="63.1"/>
    <n v="0"/>
    <x v="2"/>
    <n v="52"/>
    <s v="High"/>
    <n v="15"/>
    <n v="0.3"/>
    <n v="27"/>
    <x v="0"/>
    <n v="25"/>
    <x v="17"/>
  </r>
  <r>
    <d v="2017-04-10T00:00:00"/>
    <x v="3"/>
    <x v="1"/>
    <n v="58.5"/>
    <n v="0.74"/>
    <x v="1"/>
    <n v="48"/>
    <s v="High"/>
    <n v="15"/>
    <n v="0.3"/>
    <n v="25"/>
    <x v="0"/>
    <n v="15"/>
    <x v="15"/>
  </r>
  <r>
    <d v="2017-04-11T00:00:00"/>
    <x v="3"/>
    <x v="2"/>
    <n v="60.8"/>
    <n v="0.74"/>
    <x v="1"/>
    <n v="34"/>
    <s v="Medium"/>
    <n v="10"/>
    <n v="0.3"/>
    <n v="26"/>
    <x v="0"/>
    <n v="10"/>
    <x v="16"/>
  </r>
  <r>
    <d v="2017-04-12T00:00:00"/>
    <x v="3"/>
    <x v="3"/>
    <n v="66.099999999999994"/>
    <n v="0.74"/>
    <x v="1"/>
    <n v="30"/>
    <s v="Medium"/>
    <n v="10"/>
    <n v="0.3"/>
    <n v="27"/>
    <x v="0"/>
    <n v="20"/>
    <x v="17"/>
  </r>
  <r>
    <d v="2017-04-13T00:00:00"/>
    <x v="3"/>
    <x v="4"/>
    <n v="61.1"/>
    <n v="0"/>
    <x v="2"/>
    <n v="46"/>
    <s v="High"/>
    <n v="15"/>
    <n v="0.3"/>
    <n v="27"/>
    <x v="0"/>
    <n v="25"/>
    <x v="17"/>
  </r>
  <r>
    <d v="2017-04-14T00:00:00"/>
    <x v="3"/>
    <x v="5"/>
    <n v="61.5"/>
    <n v="0.77"/>
    <x v="1"/>
    <n v="49"/>
    <s v="High"/>
    <n v="15"/>
    <n v="0.3"/>
    <n v="25"/>
    <x v="0"/>
    <n v="15"/>
    <x v="15"/>
  </r>
  <r>
    <d v="2017-04-15T00:00:00"/>
    <x v="3"/>
    <x v="6"/>
    <n v="65.8"/>
    <n v="0.74"/>
    <x v="1"/>
    <n v="41"/>
    <s v="High"/>
    <n v="15"/>
    <n v="0.3"/>
    <n v="26"/>
    <x v="0"/>
    <n v="15"/>
    <x v="16"/>
  </r>
  <r>
    <d v="2017-04-16T00:00:00"/>
    <x v="3"/>
    <x v="0"/>
    <n v="65.099999999999994"/>
    <n v="0"/>
    <x v="2"/>
    <n v="43"/>
    <s v="High"/>
    <n v="15"/>
    <n v="0.3"/>
    <n v="27"/>
    <x v="0"/>
    <n v="25"/>
    <x v="17"/>
  </r>
  <r>
    <d v="2017-04-17T00:00:00"/>
    <x v="3"/>
    <x v="1"/>
    <n v="64.099999999999994"/>
    <n v="0.71"/>
    <x v="1"/>
    <n v="56"/>
    <s v="High"/>
    <n v="15"/>
    <n v="0.3"/>
    <n v="27"/>
    <x v="0"/>
    <n v="25"/>
    <x v="17"/>
  </r>
  <r>
    <d v="2017-04-18T00:00:00"/>
    <x v="3"/>
    <x v="2"/>
    <n v="62.5"/>
    <n v="0.74"/>
    <x v="1"/>
    <n v="31"/>
    <s v="Medium"/>
    <n v="10"/>
    <n v="0.3"/>
    <n v="25"/>
    <x v="0"/>
    <n v="10"/>
    <x v="15"/>
  </r>
  <r>
    <d v="2017-04-19T00:00:00"/>
    <x v="3"/>
    <x v="3"/>
    <n v="59.8"/>
    <n v="0.77"/>
    <x v="1"/>
    <n v="53"/>
    <s v="High"/>
    <n v="15"/>
    <n v="0.3"/>
    <n v="26"/>
    <x v="0"/>
    <n v="15"/>
    <x v="16"/>
  </r>
  <r>
    <d v="2017-04-20T00:00:00"/>
    <x v="3"/>
    <x v="4"/>
    <n v="68.099999999999994"/>
    <n v="0"/>
    <x v="2"/>
    <n v="42"/>
    <s v="High"/>
    <n v="15"/>
    <n v="0.3"/>
    <n v="27"/>
    <x v="0"/>
    <n v="25"/>
    <x v="17"/>
  </r>
  <r>
    <d v="2017-04-21T00:00:00"/>
    <x v="3"/>
    <x v="5"/>
    <n v="67.099999999999994"/>
    <n v="0.74"/>
    <x v="1"/>
    <n v="48"/>
    <s v="High"/>
    <n v="15"/>
    <n v="0.3"/>
    <n v="27"/>
    <x v="0"/>
    <n v="25"/>
    <x v="17"/>
  </r>
  <r>
    <d v="2017-04-22T00:00:00"/>
    <x v="3"/>
    <x v="6"/>
    <n v="57.5"/>
    <n v="0.77"/>
    <x v="1"/>
    <n v="47"/>
    <s v="High"/>
    <n v="15"/>
    <n v="0.3"/>
    <n v="25"/>
    <x v="0"/>
    <n v="15"/>
    <x v="15"/>
  </r>
  <r>
    <d v="2017-04-23T00:00:00"/>
    <x v="3"/>
    <x v="0"/>
    <n v="60.8"/>
    <n v="0.77"/>
    <x v="1"/>
    <n v="50"/>
    <s v="High"/>
    <n v="15"/>
    <n v="0.3"/>
    <n v="26"/>
    <x v="0"/>
    <n v="15"/>
    <x v="16"/>
  </r>
  <r>
    <d v="2017-04-24T00:00:00"/>
    <x v="3"/>
    <x v="1"/>
    <n v="65.099999999999994"/>
    <n v="0"/>
    <x v="2"/>
    <n v="48"/>
    <s v="High"/>
    <n v="15"/>
    <n v="0.3"/>
    <n v="27"/>
    <x v="0"/>
    <n v="25"/>
    <x v="17"/>
  </r>
  <r>
    <d v="2017-04-25T00:00:00"/>
    <x v="3"/>
    <x v="2"/>
    <n v="65.099999999999994"/>
    <n v="0.71"/>
    <x v="1"/>
    <n v="37"/>
    <s v="Medium"/>
    <n v="10"/>
    <n v="0.3"/>
    <n v="27"/>
    <x v="0"/>
    <n v="20"/>
    <x v="17"/>
  </r>
  <r>
    <d v="2017-04-26T00:00:00"/>
    <x v="3"/>
    <x v="3"/>
    <n v="62.5"/>
    <n v="0.8"/>
    <x v="1"/>
    <n v="48"/>
    <s v="High"/>
    <n v="15"/>
    <n v="0.3"/>
    <n v="25"/>
    <x v="0"/>
    <n v="15"/>
    <x v="15"/>
  </r>
  <r>
    <d v="2017-04-27T00:00:00"/>
    <x v="3"/>
    <x v="4"/>
    <n v="63.5"/>
    <n v="0.77"/>
    <x v="1"/>
    <n v="50"/>
    <s v="High"/>
    <n v="15"/>
    <n v="0.3"/>
    <n v="25"/>
    <x v="0"/>
    <n v="15"/>
    <x v="15"/>
  </r>
  <r>
    <d v="2017-04-28T00:00:00"/>
    <x v="3"/>
    <x v="5"/>
    <n v="58.8"/>
    <n v="0.74"/>
    <x v="1"/>
    <n v="32"/>
    <s v="Medium"/>
    <n v="10"/>
    <n v="0.3"/>
    <n v="26"/>
    <x v="0"/>
    <n v="10"/>
    <x v="16"/>
  </r>
  <r>
    <d v="2017-04-29T00:00:00"/>
    <x v="3"/>
    <x v="6"/>
    <n v="65.099999999999994"/>
    <n v="0.71"/>
    <x v="1"/>
    <n v="32"/>
    <s v="Medium"/>
    <n v="10"/>
    <n v="0.3"/>
    <n v="27"/>
    <x v="0"/>
    <n v="20"/>
    <x v="17"/>
  </r>
  <r>
    <d v="2017-04-30T00:00:00"/>
    <x v="3"/>
    <x v="0"/>
    <n v="67.099999999999994"/>
    <n v="0.74"/>
    <x v="1"/>
    <n v="35"/>
    <s v="Medium"/>
    <n v="10"/>
    <n v="0.3"/>
    <n v="27"/>
    <x v="0"/>
    <n v="20"/>
    <x v="17"/>
  </r>
  <r>
    <d v="2017-05-01T00:00:00"/>
    <x v="4"/>
    <x v="1"/>
    <n v="66.7"/>
    <n v="0"/>
    <x v="2"/>
    <n v="56"/>
    <s v="High"/>
    <n v="15"/>
    <n v="0.3"/>
    <n v="29"/>
    <x v="0"/>
    <n v="25"/>
    <x v="19"/>
  </r>
  <r>
    <d v="2017-05-02T00:00:00"/>
    <x v="4"/>
    <x v="2"/>
    <n v="65.7"/>
    <n v="0"/>
    <x v="2"/>
    <n v="40"/>
    <s v="Medium"/>
    <n v="10"/>
    <n v="0.3"/>
    <n v="29"/>
    <x v="0"/>
    <n v="20"/>
    <x v="19"/>
  </r>
  <r>
    <d v="2017-05-03T00:00:00"/>
    <x v="4"/>
    <x v="3"/>
    <n v="71"/>
    <n v="0"/>
    <x v="2"/>
    <n v="55"/>
    <s v="High"/>
    <n v="15"/>
    <n v="0.3"/>
    <n v="30"/>
    <x v="0"/>
    <n v="25"/>
    <x v="20"/>
  </r>
  <r>
    <d v="2017-05-04T00:00:00"/>
    <x v="4"/>
    <x v="4"/>
    <n v="71.3"/>
    <n v="0"/>
    <x v="2"/>
    <n v="64"/>
    <s v="High"/>
    <n v="15"/>
    <n v="0.3"/>
    <n v="31"/>
    <x v="0"/>
    <n v="25"/>
    <x v="21"/>
  </r>
  <r>
    <d v="2017-05-05T00:00:00"/>
    <x v="4"/>
    <x v="5"/>
    <n v="69.400000000000006"/>
    <n v="0.71"/>
    <x v="1"/>
    <n v="31"/>
    <s v="Medium"/>
    <n v="10"/>
    <n v="0.3"/>
    <n v="28"/>
    <x v="0"/>
    <n v="20"/>
    <x v="18"/>
  </r>
  <r>
    <d v="2017-05-06T00:00:00"/>
    <x v="4"/>
    <x v="6"/>
    <n v="66.7"/>
    <n v="0"/>
    <x v="2"/>
    <n v="51"/>
    <s v="High"/>
    <n v="15"/>
    <n v="0.3"/>
    <n v="29"/>
    <x v="0"/>
    <n v="25"/>
    <x v="19"/>
  </r>
  <r>
    <d v="2017-05-07T00:00:00"/>
    <x v="4"/>
    <x v="0"/>
    <n v="69.7"/>
    <n v="0"/>
    <x v="2"/>
    <n v="49"/>
    <s v="High"/>
    <n v="15"/>
    <n v="0.3"/>
    <n v="29"/>
    <x v="0"/>
    <n v="25"/>
    <x v="19"/>
  </r>
  <r>
    <d v="2017-05-08T00:00:00"/>
    <x v="4"/>
    <x v="1"/>
    <n v="75"/>
    <n v="0"/>
    <x v="2"/>
    <n v="56"/>
    <s v="High"/>
    <n v="15"/>
    <n v="0.3"/>
    <n v="30"/>
    <x v="0"/>
    <n v="25"/>
    <x v="20"/>
  </r>
  <r>
    <d v="2017-05-09T00:00:00"/>
    <x v="4"/>
    <x v="2"/>
    <n v="71.3"/>
    <n v="0"/>
    <x v="2"/>
    <n v="56"/>
    <s v="High"/>
    <n v="15"/>
    <n v="0.3"/>
    <n v="31"/>
    <x v="0"/>
    <n v="25"/>
    <x v="21"/>
  </r>
  <r>
    <d v="2017-05-10T00:00:00"/>
    <x v="4"/>
    <x v="3"/>
    <n v="69.400000000000006"/>
    <n v="0"/>
    <x v="2"/>
    <n v="40"/>
    <s v="Medium"/>
    <n v="10"/>
    <n v="0.3"/>
    <n v="28"/>
    <x v="0"/>
    <n v="20"/>
    <x v="18"/>
  </r>
  <r>
    <d v="2017-05-11T00:00:00"/>
    <x v="4"/>
    <x v="4"/>
    <n v="72.7"/>
    <n v="0"/>
    <x v="2"/>
    <n v="57"/>
    <s v="High"/>
    <n v="15"/>
    <n v="0.3"/>
    <n v="29"/>
    <x v="0"/>
    <n v="25"/>
    <x v="19"/>
  </r>
  <r>
    <d v="2017-05-12T00:00:00"/>
    <x v="4"/>
    <x v="5"/>
    <n v="66.7"/>
    <n v="0.62"/>
    <x v="1"/>
    <n v="40"/>
    <s v="Medium"/>
    <n v="10"/>
    <n v="0.3"/>
    <n v="29"/>
    <x v="0"/>
    <n v="20"/>
    <x v="19"/>
  </r>
  <r>
    <d v="2017-05-13T00:00:00"/>
    <x v="4"/>
    <x v="6"/>
    <n v="70"/>
    <n v="0"/>
    <x v="2"/>
    <n v="34"/>
    <s v="Medium"/>
    <n v="10"/>
    <n v="0.3"/>
    <n v="30"/>
    <x v="0"/>
    <n v="20"/>
    <x v="20"/>
  </r>
  <r>
    <d v="2017-05-14T00:00:00"/>
    <x v="4"/>
    <x v="0"/>
    <n v="77.3"/>
    <n v="0"/>
    <x v="2"/>
    <n v="58"/>
    <s v="High"/>
    <n v="15"/>
    <n v="0.3"/>
    <n v="31"/>
    <x v="0"/>
    <n v="25"/>
    <x v="21"/>
  </r>
  <r>
    <d v="2017-05-15T00:00:00"/>
    <x v="4"/>
    <x v="1"/>
    <n v="63.4"/>
    <n v="0"/>
    <x v="2"/>
    <n v="32"/>
    <s v="Medium"/>
    <n v="10"/>
    <n v="0.3"/>
    <n v="28"/>
    <x v="0"/>
    <n v="20"/>
    <x v="18"/>
  </r>
  <r>
    <d v="2017-05-16T00:00:00"/>
    <x v="4"/>
    <x v="2"/>
    <n v="65.7"/>
    <n v="0"/>
    <x v="2"/>
    <n v="55"/>
    <s v="High"/>
    <n v="15"/>
    <n v="0.3"/>
    <n v="29"/>
    <x v="0"/>
    <n v="25"/>
    <x v="19"/>
  </r>
  <r>
    <d v="2017-05-17T00:00:00"/>
    <x v="4"/>
    <x v="3"/>
    <n v="70.7"/>
    <n v="0"/>
    <x v="2"/>
    <n v="43"/>
    <s v="High"/>
    <n v="15"/>
    <n v="0.3"/>
    <n v="29"/>
    <x v="0"/>
    <n v="25"/>
    <x v="19"/>
  </r>
  <r>
    <d v="2017-05-18T00:00:00"/>
    <x v="4"/>
    <x v="4"/>
    <n v="72"/>
    <n v="0"/>
    <x v="2"/>
    <n v="53"/>
    <s v="High"/>
    <n v="15"/>
    <n v="0.3"/>
    <n v="30"/>
    <x v="0"/>
    <n v="25"/>
    <x v="20"/>
  </r>
  <r>
    <d v="2017-05-19T00:00:00"/>
    <x v="4"/>
    <x v="5"/>
    <n v="75.3"/>
    <n v="0"/>
    <x v="2"/>
    <n v="58"/>
    <s v="High"/>
    <n v="15"/>
    <n v="0.3"/>
    <n v="31"/>
    <x v="0"/>
    <n v="25"/>
    <x v="21"/>
  </r>
  <r>
    <d v="2017-05-20T00:00:00"/>
    <x v="4"/>
    <x v="6"/>
    <n v="64.400000000000006"/>
    <n v="0.4"/>
    <x v="1"/>
    <n v="59"/>
    <s v="High"/>
    <n v="15"/>
    <n v="0.3"/>
    <n v="28"/>
    <x v="0"/>
    <n v="25"/>
    <x v="18"/>
  </r>
  <r>
    <d v="2017-05-21T00:00:00"/>
    <x v="4"/>
    <x v="0"/>
    <n v="71.7"/>
    <n v="0"/>
    <x v="2"/>
    <n v="47"/>
    <s v="High"/>
    <n v="15"/>
    <n v="0.3"/>
    <n v="29"/>
    <x v="0"/>
    <n v="25"/>
    <x v="19"/>
  </r>
  <r>
    <d v="2017-05-22T00:00:00"/>
    <x v="4"/>
    <x v="1"/>
    <n v="71"/>
    <n v="0"/>
    <x v="2"/>
    <n v="34"/>
    <s v="Medium"/>
    <n v="10"/>
    <n v="0.3"/>
    <n v="30"/>
    <x v="0"/>
    <n v="20"/>
    <x v="20"/>
  </r>
  <r>
    <d v="2017-05-23T00:00:00"/>
    <x v="4"/>
    <x v="2"/>
    <n v="76.3"/>
    <n v="0"/>
    <x v="2"/>
    <n v="45"/>
    <s v="High"/>
    <n v="15"/>
    <n v="0.3"/>
    <n v="31"/>
    <x v="0"/>
    <n v="25"/>
    <x v="21"/>
  </r>
  <r>
    <d v="2017-05-24T00:00:00"/>
    <x v="4"/>
    <x v="3"/>
    <n v="69.400000000000006"/>
    <n v="0"/>
    <x v="2"/>
    <n v="34"/>
    <s v="Medium"/>
    <n v="10"/>
    <n v="0.3"/>
    <n v="28"/>
    <x v="0"/>
    <n v="20"/>
    <x v="18"/>
  </r>
  <r>
    <d v="2017-05-25T00:00:00"/>
    <x v="4"/>
    <x v="4"/>
    <n v="71.7"/>
    <n v="0"/>
    <x v="2"/>
    <n v="53"/>
    <s v="High"/>
    <n v="15"/>
    <n v="0.3"/>
    <n v="29"/>
    <x v="0"/>
    <n v="25"/>
    <x v="19"/>
  </r>
  <r>
    <d v="2017-05-26T00:00:00"/>
    <x v="4"/>
    <x v="5"/>
    <n v="72"/>
    <n v="0"/>
    <x v="2"/>
    <n v="63"/>
    <s v="High"/>
    <n v="15"/>
    <n v="0.3"/>
    <n v="30"/>
    <x v="0"/>
    <n v="25"/>
    <x v="20"/>
  </r>
  <r>
    <d v="2017-05-27T00:00:00"/>
    <x v="4"/>
    <x v="6"/>
    <n v="77.3"/>
    <n v="0"/>
    <x v="2"/>
    <n v="56"/>
    <s v="High"/>
    <n v="15"/>
    <n v="0.3"/>
    <n v="31"/>
    <x v="0"/>
    <n v="25"/>
    <x v="21"/>
  </r>
  <r>
    <d v="2017-05-28T00:00:00"/>
    <x v="4"/>
    <x v="0"/>
    <n v="71.7"/>
    <n v="0"/>
    <x v="2"/>
    <n v="45"/>
    <s v="High"/>
    <n v="15"/>
    <n v="0.3"/>
    <n v="29"/>
    <x v="0"/>
    <n v="25"/>
    <x v="19"/>
  </r>
  <r>
    <d v="2017-05-29T00:00:00"/>
    <x v="4"/>
    <x v="1"/>
    <n v="66.7"/>
    <n v="1.02"/>
    <x v="0"/>
    <n v="32"/>
    <s v="Medium"/>
    <n v="10"/>
    <n v="0.3"/>
    <n v="29"/>
    <x v="0"/>
    <n v="20"/>
    <x v="19"/>
  </r>
  <r>
    <d v="2017-05-30T00:00:00"/>
    <x v="4"/>
    <x v="2"/>
    <n v="75"/>
    <n v="0.54"/>
    <x v="1"/>
    <n v="43"/>
    <s v="High"/>
    <n v="15"/>
    <n v="0.3"/>
    <n v="30"/>
    <x v="0"/>
    <n v="25"/>
    <x v="20"/>
  </r>
  <r>
    <d v="2017-05-31T00:00:00"/>
    <x v="4"/>
    <x v="3"/>
    <n v="77.3"/>
    <n v="0.78"/>
    <x v="1"/>
    <n v="56"/>
    <s v="High"/>
    <n v="15"/>
    <n v="0.3"/>
    <n v="31"/>
    <x v="0"/>
    <n v="25"/>
    <x v="21"/>
  </r>
  <r>
    <d v="2017-06-01T00:00:00"/>
    <x v="5"/>
    <x v="4"/>
    <n v="71.3"/>
    <n v="0"/>
    <x v="2"/>
    <n v="42"/>
    <s v="High"/>
    <n v="15"/>
    <n v="0.3"/>
    <n v="31"/>
    <x v="0"/>
    <n v="25"/>
    <x v="21"/>
  </r>
  <r>
    <d v="2017-06-02T00:00:00"/>
    <x v="5"/>
    <x v="5"/>
    <n v="79.900000000000006"/>
    <n v="0"/>
    <x v="2"/>
    <n v="48"/>
    <s v="High"/>
    <n v="15"/>
    <n v="0.3"/>
    <n v="33"/>
    <x v="0"/>
    <n v="25"/>
    <x v="22"/>
  </r>
  <r>
    <d v="2017-06-03T00:00:00"/>
    <x v="5"/>
    <x v="6"/>
    <n v="81.5"/>
    <n v="0"/>
    <x v="2"/>
    <n v="59"/>
    <s v="High"/>
    <n v="15"/>
    <n v="0.3"/>
    <n v="35"/>
    <x v="0"/>
    <n v="25"/>
    <x v="23"/>
  </r>
  <r>
    <d v="2017-06-04T00:00:00"/>
    <x v="5"/>
    <x v="0"/>
    <n v="90.4"/>
    <n v="0"/>
    <x v="2"/>
    <n v="43"/>
    <s v="High"/>
    <n v="15"/>
    <n v="0.3"/>
    <n v="38"/>
    <x v="0"/>
    <n v="25"/>
    <x v="24"/>
  </r>
  <r>
    <d v="2017-06-05T00:00:00"/>
    <x v="5"/>
    <x v="1"/>
    <n v="78.599999999999994"/>
    <n v="0"/>
    <x v="2"/>
    <n v="36"/>
    <s v="Medium"/>
    <n v="10"/>
    <n v="0.3"/>
    <n v="32"/>
    <x v="0"/>
    <n v="20"/>
    <x v="25"/>
  </r>
  <r>
    <d v="2017-06-06T00:00:00"/>
    <x v="5"/>
    <x v="2"/>
    <n v="84.2"/>
    <n v="0"/>
    <x v="2"/>
    <n v="44"/>
    <s v="High"/>
    <n v="15"/>
    <n v="0.3"/>
    <n v="34"/>
    <x v="0"/>
    <n v="25"/>
    <x v="26"/>
  </r>
  <r>
    <d v="2017-06-07T00:00:00"/>
    <x v="5"/>
    <x v="3"/>
    <n v="86.8"/>
    <n v="0"/>
    <x v="2"/>
    <n v="58"/>
    <s v="High"/>
    <n v="15"/>
    <n v="0.3"/>
    <n v="36"/>
    <x v="0"/>
    <n v="25"/>
    <x v="27"/>
  </r>
  <r>
    <d v="2017-06-08T00:00:00"/>
    <x v="5"/>
    <x v="4"/>
    <n v="90.7"/>
    <n v="0"/>
    <x v="2"/>
    <n v="46"/>
    <s v="High"/>
    <n v="15"/>
    <n v="0.3"/>
    <n v="39"/>
    <x v="0"/>
    <n v="25"/>
    <x v="28"/>
  </r>
  <r>
    <d v="2017-06-09T00:00:00"/>
    <x v="5"/>
    <x v="5"/>
    <n v="77.599999999999994"/>
    <n v="0"/>
    <x v="2"/>
    <n v="44"/>
    <s v="High"/>
    <n v="15"/>
    <n v="0.3"/>
    <n v="32"/>
    <x v="0"/>
    <n v="25"/>
    <x v="25"/>
  </r>
  <r>
    <d v="2017-06-10T00:00:00"/>
    <x v="5"/>
    <x v="6"/>
    <n v="79.5"/>
    <n v="0"/>
    <x v="2"/>
    <n v="54"/>
    <s v="High"/>
    <n v="15"/>
    <n v="0.3"/>
    <n v="35"/>
    <x v="0"/>
    <n v="25"/>
    <x v="23"/>
  </r>
  <r>
    <d v="2017-06-11T00:00:00"/>
    <x v="5"/>
    <x v="0"/>
    <n v="84.8"/>
    <n v="0"/>
    <x v="2"/>
    <n v="42"/>
    <s v="High"/>
    <n v="15"/>
    <n v="0.3"/>
    <n v="36"/>
    <x v="0"/>
    <n v="25"/>
    <x v="27"/>
  </r>
  <r>
    <d v="2017-06-12T00:00:00"/>
    <x v="5"/>
    <x v="1"/>
    <n v="93"/>
    <n v="0"/>
    <x v="2"/>
    <n v="67"/>
    <s v="High"/>
    <n v="15"/>
    <n v="0.3"/>
    <n v="40"/>
    <x v="0"/>
    <n v="25"/>
    <x v="29"/>
  </r>
  <r>
    <d v="2017-06-13T00:00:00"/>
    <x v="5"/>
    <x v="2"/>
    <n v="75.599999999999994"/>
    <n v="0"/>
    <x v="2"/>
    <n v="65"/>
    <s v="High"/>
    <n v="15"/>
    <n v="0.3"/>
    <n v="32"/>
    <x v="0"/>
    <n v="25"/>
    <x v="25"/>
  </r>
  <r>
    <d v="2017-06-14T00:00:00"/>
    <x v="5"/>
    <x v="3"/>
    <n v="80.5"/>
    <n v="0"/>
    <x v="2"/>
    <n v="48"/>
    <s v="High"/>
    <n v="15"/>
    <n v="0.3"/>
    <n v="35"/>
    <x v="0"/>
    <n v="25"/>
    <x v="23"/>
  </r>
  <r>
    <d v="2017-06-15T00:00:00"/>
    <x v="5"/>
    <x v="4"/>
    <n v="84.8"/>
    <n v="0.72"/>
    <x v="1"/>
    <n v="50"/>
    <s v="High"/>
    <n v="15"/>
    <n v="0.3"/>
    <n v="36"/>
    <x v="0"/>
    <n v="25"/>
    <x v="27"/>
  </r>
  <r>
    <d v="2017-06-16T00:00:00"/>
    <x v="5"/>
    <x v="5"/>
    <n v="99.3"/>
    <n v="0"/>
    <x v="2"/>
    <n v="77"/>
    <s v="High"/>
    <n v="15"/>
    <n v="0.3"/>
    <n v="41"/>
    <x v="0"/>
    <n v="25"/>
    <x v="30"/>
  </r>
  <r>
    <d v="2017-06-17T00:00:00"/>
    <x v="5"/>
    <x v="6"/>
    <n v="76.3"/>
    <n v="0"/>
    <x v="2"/>
    <n v="47"/>
    <s v="High"/>
    <n v="15"/>
    <n v="0.3"/>
    <n v="31"/>
    <x v="0"/>
    <n v="25"/>
    <x v="21"/>
  </r>
  <r>
    <d v="2017-06-18T00:00:00"/>
    <x v="5"/>
    <x v="0"/>
    <n v="72.599999999999994"/>
    <n v="0"/>
    <x v="2"/>
    <n v="60"/>
    <s v="High"/>
    <n v="15"/>
    <n v="0.3"/>
    <n v="32"/>
    <x v="0"/>
    <n v="25"/>
    <x v="25"/>
  </r>
  <r>
    <d v="2017-06-19T00:00:00"/>
    <x v="5"/>
    <x v="1"/>
    <n v="86.5"/>
    <n v="0"/>
    <x v="2"/>
    <n v="66"/>
    <s v="High"/>
    <n v="15"/>
    <n v="0.3"/>
    <n v="35"/>
    <x v="0"/>
    <n v="25"/>
    <x v="23"/>
  </r>
  <r>
    <d v="2017-06-20T00:00:00"/>
    <x v="5"/>
    <x v="2"/>
    <n v="85.1"/>
    <n v="0.56000000000000005"/>
    <x v="1"/>
    <n v="70"/>
    <s v="High"/>
    <n v="15"/>
    <n v="0.3"/>
    <n v="37"/>
    <x v="0"/>
    <n v="25"/>
    <x v="31"/>
  </r>
  <r>
    <d v="2017-06-21T00:00:00"/>
    <x v="5"/>
    <x v="3"/>
    <n v="94.3"/>
    <n v="0"/>
    <x v="2"/>
    <n v="76"/>
    <s v="High"/>
    <n v="15"/>
    <n v="0.3"/>
    <n v="41"/>
    <x v="0"/>
    <n v="25"/>
    <x v="30"/>
  </r>
  <r>
    <d v="2017-06-22T00:00:00"/>
    <x v="5"/>
    <x v="4"/>
    <n v="72.3"/>
    <n v="0.12"/>
    <x v="1"/>
    <n v="36"/>
    <s v="Medium"/>
    <n v="10"/>
    <n v="0.3"/>
    <n v="31"/>
    <x v="0"/>
    <n v="20"/>
    <x v="21"/>
  </r>
  <r>
    <d v="2017-06-23T00:00:00"/>
    <x v="5"/>
    <x v="5"/>
    <n v="79.900000000000006"/>
    <n v="0"/>
    <x v="2"/>
    <n v="39"/>
    <s v="Medium"/>
    <n v="10"/>
    <n v="0.3"/>
    <n v="33"/>
    <x v="0"/>
    <n v="20"/>
    <x v="22"/>
  </r>
  <r>
    <d v="2017-06-24T00:00:00"/>
    <x v="5"/>
    <x v="6"/>
    <n v="80.5"/>
    <n v="0"/>
    <x v="2"/>
    <n v="50"/>
    <s v="High"/>
    <n v="15"/>
    <n v="0.3"/>
    <n v="35"/>
    <x v="0"/>
    <n v="25"/>
    <x v="23"/>
  </r>
  <r>
    <d v="2017-06-25T00:00:00"/>
    <x v="5"/>
    <x v="0"/>
    <n v="85.1"/>
    <n v="0"/>
    <x v="2"/>
    <n v="58"/>
    <s v="High"/>
    <n v="15"/>
    <n v="0.3"/>
    <n v="37"/>
    <x v="0"/>
    <n v="25"/>
    <x v="31"/>
  </r>
  <r>
    <d v="2017-06-26T00:00:00"/>
    <x v="5"/>
    <x v="1"/>
    <n v="102.6"/>
    <n v="0"/>
    <x v="2"/>
    <n v="60"/>
    <s v="High"/>
    <n v="15"/>
    <n v="0.3"/>
    <n v="42"/>
    <x v="0"/>
    <n v="25"/>
    <x v="32"/>
  </r>
  <r>
    <d v="2017-06-27T00:00:00"/>
    <x v="5"/>
    <x v="2"/>
    <n v="75.3"/>
    <n v="0"/>
    <x v="2"/>
    <n v="62"/>
    <s v="High"/>
    <n v="15"/>
    <n v="0.3"/>
    <n v="31"/>
    <x v="0"/>
    <n v="25"/>
    <x v="21"/>
  </r>
  <r>
    <d v="2017-06-28T00:00:00"/>
    <x v="5"/>
    <x v="3"/>
    <n v="75.900000000000006"/>
    <n v="0"/>
    <x v="2"/>
    <n v="65"/>
    <s v="High"/>
    <n v="15"/>
    <n v="0.3"/>
    <n v="33"/>
    <x v="0"/>
    <n v="25"/>
    <x v="22"/>
  </r>
  <r>
    <d v="2017-06-29T00:00:00"/>
    <x v="5"/>
    <x v="4"/>
    <n v="86.5"/>
    <n v="0"/>
    <x v="2"/>
    <n v="64"/>
    <s v="High"/>
    <n v="15"/>
    <n v="0.3"/>
    <n v="35"/>
    <x v="0"/>
    <n v="25"/>
    <x v="23"/>
  </r>
  <r>
    <d v="2017-06-30T00:00:00"/>
    <x v="5"/>
    <x v="5"/>
    <n v="89.4"/>
    <n v="0.6"/>
    <x v="1"/>
    <n v="47"/>
    <s v="High"/>
    <n v="15"/>
    <n v="0.3"/>
    <n v="38"/>
    <x v="0"/>
    <n v="25"/>
    <x v="24"/>
  </r>
  <r>
    <d v="2017-07-01T00:00:00"/>
    <x v="6"/>
    <x v="6"/>
    <n v="102.9"/>
    <n v="0"/>
    <x v="2"/>
    <n v="59"/>
    <s v="High"/>
    <n v="15"/>
    <n v="0.5"/>
    <n v="43"/>
    <x v="0"/>
    <n v="25"/>
    <x v="33"/>
  </r>
  <r>
    <d v="2017-07-02T00:00:00"/>
    <x v="6"/>
    <x v="0"/>
    <n v="93.4"/>
    <n v="0"/>
    <x v="2"/>
    <n v="68"/>
    <s v="High"/>
    <n v="15"/>
    <n v="0.5"/>
    <n v="38"/>
    <x v="0"/>
    <n v="25"/>
    <x v="34"/>
  </r>
  <r>
    <d v="2017-07-03T00:00:00"/>
    <x v="6"/>
    <x v="1"/>
    <n v="81.5"/>
    <n v="0.7"/>
    <x v="1"/>
    <n v="68"/>
    <s v="High"/>
    <n v="15"/>
    <n v="0.5"/>
    <n v="35"/>
    <x v="0"/>
    <n v="25"/>
    <x v="35"/>
  </r>
  <r>
    <d v="2017-07-04T00:00:00"/>
    <x v="6"/>
    <x v="2"/>
    <n v="84.2"/>
    <n v="0"/>
    <x v="2"/>
    <n v="49"/>
    <s v="High"/>
    <n v="15"/>
    <n v="0.5"/>
    <n v="34"/>
    <x v="0"/>
    <n v="25"/>
    <x v="36"/>
  </r>
  <r>
    <d v="2017-07-05T00:00:00"/>
    <x v="6"/>
    <x v="3"/>
    <n v="73.599999999999994"/>
    <n v="0"/>
    <x v="2"/>
    <n v="55"/>
    <s v="High"/>
    <n v="15"/>
    <n v="0.5"/>
    <n v="32"/>
    <x v="0"/>
    <n v="25"/>
    <x v="37"/>
  </r>
  <r>
    <d v="2017-07-06T00:00:00"/>
    <x v="6"/>
    <x v="4"/>
    <n v="91.7"/>
    <n v="0"/>
    <x v="2"/>
    <n v="46"/>
    <s v="High"/>
    <n v="15"/>
    <n v="0.5"/>
    <n v="39"/>
    <x v="0"/>
    <n v="25"/>
    <x v="38"/>
  </r>
  <r>
    <d v="2017-07-07T00:00:00"/>
    <x v="6"/>
    <x v="5"/>
    <n v="82.5"/>
    <n v="0"/>
    <x v="2"/>
    <n v="41"/>
    <s v="High"/>
    <n v="15"/>
    <n v="0.5"/>
    <n v="35"/>
    <x v="0"/>
    <n v="25"/>
    <x v="35"/>
  </r>
  <r>
    <d v="2017-07-08T00:00:00"/>
    <x v="6"/>
    <x v="6"/>
    <n v="83.2"/>
    <n v="0"/>
    <x v="2"/>
    <n v="44"/>
    <s v="High"/>
    <n v="15"/>
    <n v="0.5"/>
    <n v="34"/>
    <x v="0"/>
    <n v="25"/>
    <x v="36"/>
  </r>
  <r>
    <d v="2017-07-09T00:00:00"/>
    <x v="6"/>
    <x v="0"/>
    <n v="77.900000000000006"/>
    <n v="0"/>
    <x v="2"/>
    <n v="44"/>
    <s v="High"/>
    <n v="15"/>
    <n v="0.5"/>
    <n v="33"/>
    <x v="0"/>
    <n v="25"/>
    <x v="39"/>
  </r>
  <r>
    <d v="2017-07-10T00:00:00"/>
    <x v="6"/>
    <x v="1"/>
    <n v="98"/>
    <n v="0"/>
    <x v="2"/>
    <n v="66"/>
    <s v="High"/>
    <n v="15"/>
    <n v="0.5"/>
    <n v="40"/>
    <x v="0"/>
    <n v="25"/>
    <x v="40"/>
  </r>
  <r>
    <d v="2017-07-11T00:00:00"/>
    <x v="6"/>
    <x v="2"/>
    <n v="83.5"/>
    <n v="0"/>
    <x v="2"/>
    <n v="40"/>
    <s v="Medium"/>
    <n v="10"/>
    <n v="0.5"/>
    <n v="35"/>
    <x v="0"/>
    <n v="20"/>
    <x v="35"/>
  </r>
  <r>
    <d v="2017-07-12T00:00:00"/>
    <x v="6"/>
    <x v="3"/>
    <n v="80.2"/>
    <n v="0"/>
    <x v="2"/>
    <n v="39"/>
    <s v="Medium"/>
    <n v="10"/>
    <n v="0.5"/>
    <n v="34"/>
    <x v="0"/>
    <n v="20"/>
    <x v="36"/>
  </r>
  <r>
    <d v="2017-07-13T00:00:00"/>
    <x v="6"/>
    <x v="4"/>
    <n v="78.900000000000006"/>
    <n v="0"/>
    <x v="2"/>
    <n v="49"/>
    <s v="High"/>
    <n v="15"/>
    <n v="0.5"/>
    <n v="33"/>
    <x v="0"/>
    <n v="25"/>
    <x v="39"/>
  </r>
  <r>
    <d v="2017-07-14T00:00:00"/>
    <x v="6"/>
    <x v="5"/>
    <n v="92"/>
    <n v="0"/>
    <x v="2"/>
    <n v="80"/>
    <s v="High"/>
    <n v="15"/>
    <n v="0.5"/>
    <n v="40"/>
    <x v="0"/>
    <n v="25"/>
    <x v="40"/>
  </r>
  <r>
    <d v="2017-07-15T00:00:00"/>
    <x v="6"/>
    <x v="6"/>
    <n v="82.5"/>
    <n v="0"/>
    <x v="2"/>
    <n v="56"/>
    <s v="High"/>
    <n v="15"/>
    <n v="0.5"/>
    <n v="35"/>
    <x v="0"/>
    <n v="25"/>
    <x v="35"/>
  </r>
  <r>
    <d v="2017-07-16T00:00:00"/>
    <x v="6"/>
    <x v="0"/>
    <n v="79.2"/>
    <n v="0"/>
    <x v="2"/>
    <n v="50"/>
    <s v="High"/>
    <n v="15"/>
    <n v="0.5"/>
    <n v="34"/>
    <x v="0"/>
    <n v="25"/>
    <x v="36"/>
  </r>
  <r>
    <d v="2017-07-17T00:00:00"/>
    <x v="6"/>
    <x v="1"/>
    <n v="80.900000000000006"/>
    <n v="0"/>
    <x v="2"/>
    <n v="64"/>
    <s v="High"/>
    <n v="15"/>
    <n v="0.5"/>
    <n v="33"/>
    <x v="0"/>
    <n v="25"/>
    <x v="39"/>
  </r>
  <r>
    <d v="2017-07-18T00:00:00"/>
    <x v="6"/>
    <x v="2"/>
    <n v="99.3"/>
    <n v="0"/>
    <x v="2"/>
    <n v="76"/>
    <s v="High"/>
    <n v="15"/>
    <n v="0.5"/>
    <n v="41"/>
    <x v="0"/>
    <n v="25"/>
    <x v="41"/>
  </r>
  <r>
    <d v="2017-07-19T00:00:00"/>
    <x v="6"/>
    <x v="3"/>
    <n v="83.8"/>
    <n v="0"/>
    <x v="2"/>
    <n v="44"/>
    <s v="High"/>
    <n v="15"/>
    <n v="0.5"/>
    <n v="36"/>
    <x v="0"/>
    <n v="25"/>
    <x v="42"/>
  </r>
  <r>
    <d v="2017-07-20T00:00:00"/>
    <x v="6"/>
    <x v="4"/>
    <n v="86.5"/>
    <n v="0"/>
    <x v="2"/>
    <n v="44"/>
    <s v="High"/>
    <n v="15"/>
    <n v="0.5"/>
    <n v="35"/>
    <x v="0"/>
    <n v="25"/>
    <x v="35"/>
  </r>
  <r>
    <d v="2017-07-21T00:00:00"/>
    <x v="6"/>
    <x v="5"/>
    <n v="76.900000000000006"/>
    <n v="0"/>
    <x v="2"/>
    <n v="59"/>
    <s v="High"/>
    <n v="15"/>
    <n v="0.5"/>
    <n v="33"/>
    <x v="0"/>
    <n v="25"/>
    <x v="39"/>
  </r>
  <r>
    <d v="2017-07-22T00:00:00"/>
    <x v="6"/>
    <x v="6"/>
    <n v="99.6"/>
    <n v="0.3"/>
    <x v="1"/>
    <n v="49"/>
    <s v="High"/>
    <n v="15"/>
    <n v="0.5"/>
    <n v="42"/>
    <x v="0"/>
    <n v="25"/>
    <x v="43"/>
  </r>
  <r>
    <d v="2017-07-23T00:00:00"/>
    <x v="6"/>
    <x v="0"/>
    <n v="89.1"/>
    <n v="0.32"/>
    <x v="1"/>
    <n v="72"/>
    <s v="High"/>
    <n v="15"/>
    <n v="0.5"/>
    <n v="37"/>
    <x v="0"/>
    <n v="25"/>
    <x v="44"/>
  </r>
  <r>
    <d v="2017-07-24T00:00:00"/>
    <x v="6"/>
    <x v="1"/>
    <n v="83.5"/>
    <n v="0"/>
    <x v="2"/>
    <n v="69"/>
    <s v="High"/>
    <n v="15"/>
    <n v="0.5"/>
    <n v="35"/>
    <x v="0"/>
    <n v="25"/>
    <x v="35"/>
  </r>
  <r>
    <d v="2017-07-25T00:00:00"/>
    <x v="6"/>
    <x v="2"/>
    <n v="79.900000000000006"/>
    <n v="0"/>
    <x v="2"/>
    <n v="64"/>
    <s v="High"/>
    <n v="15"/>
    <n v="0.5"/>
    <n v="33"/>
    <x v="0"/>
    <n v="25"/>
    <x v="39"/>
  </r>
  <r>
    <d v="2017-07-26T00:00:00"/>
    <x v="6"/>
    <x v="3"/>
    <n v="76.599999999999994"/>
    <n v="0"/>
    <x v="2"/>
    <n v="37"/>
    <s v="Medium"/>
    <n v="10"/>
    <n v="0.5"/>
    <n v="32"/>
    <x v="0"/>
    <n v="20"/>
    <x v="37"/>
  </r>
  <r>
    <d v="2017-07-27T00:00:00"/>
    <x v="6"/>
    <x v="4"/>
    <n v="97.9"/>
    <n v="0"/>
    <x v="2"/>
    <n v="74"/>
    <s v="High"/>
    <n v="15"/>
    <n v="0.5"/>
    <n v="43"/>
    <x v="0"/>
    <n v="25"/>
    <x v="33"/>
  </r>
  <r>
    <d v="2017-07-28T00:00:00"/>
    <x v="6"/>
    <x v="5"/>
    <n v="87.4"/>
    <n v="0"/>
    <x v="2"/>
    <n v="58"/>
    <s v="High"/>
    <n v="15"/>
    <n v="0.5"/>
    <n v="38"/>
    <x v="0"/>
    <n v="25"/>
    <x v="34"/>
  </r>
  <r>
    <d v="2017-07-29T00:00:00"/>
    <x v="6"/>
    <x v="6"/>
    <n v="85.5"/>
    <n v="0.68"/>
    <x v="1"/>
    <n v="50"/>
    <s v="High"/>
    <n v="15"/>
    <n v="0.5"/>
    <n v="35"/>
    <x v="0"/>
    <n v="25"/>
    <x v="35"/>
  </r>
  <r>
    <d v="2017-07-30T00:00:00"/>
    <x v="6"/>
    <x v="0"/>
    <n v="78.2"/>
    <n v="0"/>
    <x v="2"/>
    <n v="52"/>
    <s v="High"/>
    <n v="15"/>
    <n v="0.5"/>
    <n v="34"/>
    <x v="0"/>
    <n v="25"/>
    <x v="36"/>
  </r>
  <r>
    <d v="2017-07-31T00:00:00"/>
    <x v="6"/>
    <x v="1"/>
    <n v="74.599999999999994"/>
    <n v="0"/>
    <x v="2"/>
    <n v="38"/>
    <s v="Medium"/>
    <n v="10"/>
    <n v="0.5"/>
    <n v="32"/>
    <x v="0"/>
    <n v="20"/>
    <x v="37"/>
  </r>
  <r>
    <d v="2017-08-01T00:00:00"/>
    <x v="7"/>
    <x v="2"/>
    <n v="75.599999999999994"/>
    <n v="0"/>
    <x v="2"/>
    <n v="56"/>
    <s v="High"/>
    <n v="15"/>
    <n v="0.5"/>
    <n v="32"/>
    <x v="0"/>
    <n v="25"/>
    <x v="37"/>
  </r>
  <r>
    <d v="2017-08-02T00:00:00"/>
    <x v="7"/>
    <x v="3"/>
    <n v="76.3"/>
    <n v="0"/>
    <x v="2"/>
    <n v="48"/>
    <s v="High"/>
    <n v="15"/>
    <n v="0.5"/>
    <n v="31"/>
    <x v="0"/>
    <n v="25"/>
    <x v="45"/>
  </r>
  <r>
    <d v="2017-08-03T00:00:00"/>
    <x v="7"/>
    <x v="4"/>
    <n v="75"/>
    <n v="0"/>
    <x v="2"/>
    <n v="52"/>
    <s v="High"/>
    <n v="15"/>
    <n v="0.5"/>
    <n v="30"/>
    <x v="0"/>
    <n v="25"/>
    <x v="46"/>
  </r>
  <r>
    <d v="2017-08-04T00:00:00"/>
    <x v="7"/>
    <x v="5"/>
    <n v="70.7"/>
    <n v="0"/>
    <x v="2"/>
    <n v="34"/>
    <s v="Medium"/>
    <n v="10"/>
    <n v="0.5"/>
    <n v="29"/>
    <x v="0"/>
    <n v="20"/>
    <x v="47"/>
  </r>
  <r>
    <d v="2017-08-05T00:00:00"/>
    <x v="7"/>
    <x v="6"/>
    <n v="76.599999999999994"/>
    <n v="0"/>
    <x v="2"/>
    <n v="66"/>
    <s v="High"/>
    <n v="15"/>
    <n v="0.5"/>
    <n v="32"/>
    <x v="0"/>
    <n v="25"/>
    <x v="37"/>
  </r>
  <r>
    <d v="2017-08-06T00:00:00"/>
    <x v="7"/>
    <x v="0"/>
    <n v="77.3"/>
    <n v="0"/>
    <x v="2"/>
    <n v="36"/>
    <s v="Medium"/>
    <n v="10"/>
    <n v="0.5"/>
    <n v="31"/>
    <x v="0"/>
    <n v="20"/>
    <x v="45"/>
  </r>
  <r>
    <d v="2017-08-07T00:00:00"/>
    <x v="7"/>
    <x v="1"/>
    <n v="75"/>
    <n v="0"/>
    <x v="2"/>
    <n v="38"/>
    <s v="Medium"/>
    <n v="10"/>
    <n v="0.5"/>
    <n v="30"/>
    <x v="0"/>
    <n v="20"/>
    <x v="46"/>
  </r>
  <r>
    <d v="2017-08-08T00:00:00"/>
    <x v="7"/>
    <x v="2"/>
    <n v="68.7"/>
    <n v="0.42"/>
    <x v="1"/>
    <n v="50"/>
    <s v="High"/>
    <n v="15"/>
    <n v="0.5"/>
    <n v="29"/>
    <x v="0"/>
    <n v="25"/>
    <x v="47"/>
  </r>
  <r>
    <d v="2017-08-09T00:00:00"/>
    <x v="7"/>
    <x v="3"/>
    <n v="76.599999999999994"/>
    <n v="0.54"/>
    <x v="1"/>
    <n v="55"/>
    <s v="High"/>
    <n v="15"/>
    <n v="0.5"/>
    <n v="32"/>
    <x v="0"/>
    <n v="25"/>
    <x v="37"/>
  </r>
  <r>
    <d v="2017-08-10T00:00:00"/>
    <x v="7"/>
    <x v="4"/>
    <n v="70.3"/>
    <n v="0.68"/>
    <x v="1"/>
    <n v="56"/>
    <s v="High"/>
    <n v="15"/>
    <n v="0.5"/>
    <n v="31"/>
    <x v="0"/>
    <n v="25"/>
    <x v="45"/>
  </r>
  <r>
    <d v="2017-08-11T00:00:00"/>
    <x v="7"/>
    <x v="5"/>
    <n v="75"/>
    <n v="1.02"/>
    <x v="0"/>
    <n v="49"/>
    <s v="High"/>
    <n v="15"/>
    <n v="0.5"/>
    <n v="30"/>
    <x v="0"/>
    <n v="25"/>
    <x v="46"/>
  </r>
  <r>
    <d v="2017-08-12T00:00:00"/>
    <x v="7"/>
    <x v="6"/>
    <n v="67.7"/>
    <n v="0"/>
    <x v="2"/>
    <n v="43"/>
    <s v="High"/>
    <n v="15"/>
    <n v="0.5"/>
    <n v="29"/>
    <x v="0"/>
    <n v="25"/>
    <x v="47"/>
  </r>
  <r>
    <d v="2017-08-13T00:00:00"/>
    <x v="7"/>
    <x v="0"/>
    <n v="67.7"/>
    <n v="0"/>
    <x v="2"/>
    <n v="54"/>
    <s v="High"/>
    <n v="15"/>
    <n v="0.5"/>
    <n v="29"/>
    <x v="0"/>
    <n v="25"/>
    <x v="47"/>
  </r>
  <r>
    <d v="2017-08-14T00:00:00"/>
    <x v="7"/>
    <x v="1"/>
    <n v="72.599999999999994"/>
    <n v="0"/>
    <x v="2"/>
    <n v="43"/>
    <s v="High"/>
    <n v="15"/>
    <n v="0.5"/>
    <n v="32"/>
    <x v="0"/>
    <n v="25"/>
    <x v="37"/>
  </r>
  <r>
    <d v="2017-08-15T00:00:00"/>
    <x v="7"/>
    <x v="2"/>
    <n v="74.3"/>
    <n v="0"/>
    <x v="2"/>
    <n v="44"/>
    <s v="High"/>
    <n v="15"/>
    <n v="0.5"/>
    <n v="31"/>
    <x v="0"/>
    <n v="25"/>
    <x v="45"/>
  </r>
  <r>
    <d v="2017-08-16T00:00:00"/>
    <x v="7"/>
    <x v="3"/>
    <n v="71"/>
    <n v="0"/>
    <x v="2"/>
    <n v="49"/>
    <s v="High"/>
    <n v="15"/>
    <n v="0.5"/>
    <n v="30"/>
    <x v="0"/>
    <n v="25"/>
    <x v="46"/>
  </r>
  <r>
    <d v="2017-08-17T00:00:00"/>
    <x v="7"/>
    <x v="4"/>
    <n v="68"/>
    <n v="0"/>
    <x v="2"/>
    <n v="42"/>
    <s v="High"/>
    <n v="15"/>
    <n v="0.5"/>
    <n v="30"/>
    <x v="0"/>
    <n v="25"/>
    <x v="46"/>
  </r>
  <r>
    <d v="2017-08-18T00:00:00"/>
    <x v="7"/>
    <x v="5"/>
    <n v="65.7"/>
    <n v="0.3"/>
    <x v="1"/>
    <n v="45"/>
    <s v="High"/>
    <n v="15"/>
    <n v="0.5"/>
    <n v="29"/>
    <x v="0"/>
    <n v="25"/>
    <x v="47"/>
  </r>
  <r>
    <d v="2017-08-19T00:00:00"/>
    <x v="7"/>
    <x v="6"/>
    <n v="79.599999999999994"/>
    <n v="0.2"/>
    <x v="1"/>
    <n v="58"/>
    <s v="High"/>
    <n v="15"/>
    <n v="0.5"/>
    <n v="32"/>
    <x v="0"/>
    <n v="25"/>
    <x v="37"/>
  </r>
  <r>
    <d v="2017-08-20T00:00:00"/>
    <x v="7"/>
    <x v="0"/>
    <n v="74.3"/>
    <n v="0"/>
    <x v="2"/>
    <n v="53"/>
    <s v="High"/>
    <n v="15"/>
    <n v="0.5"/>
    <n v="31"/>
    <x v="0"/>
    <n v="25"/>
    <x v="45"/>
  </r>
  <r>
    <d v="2017-08-21T00:00:00"/>
    <x v="7"/>
    <x v="1"/>
    <n v="68"/>
    <n v="0"/>
    <x v="2"/>
    <n v="58"/>
    <s v="High"/>
    <n v="15"/>
    <n v="0.5"/>
    <n v="30"/>
    <x v="0"/>
    <n v="25"/>
    <x v="46"/>
  </r>
  <r>
    <d v="2017-08-22T00:00:00"/>
    <x v="7"/>
    <x v="2"/>
    <n v="69"/>
    <n v="0"/>
    <x v="2"/>
    <n v="55"/>
    <s v="High"/>
    <n v="15"/>
    <n v="0.5"/>
    <n v="30"/>
    <x v="0"/>
    <n v="25"/>
    <x v="46"/>
  </r>
  <r>
    <d v="2017-08-23T00:00:00"/>
    <x v="7"/>
    <x v="3"/>
    <n v="70.7"/>
    <n v="0"/>
    <x v="2"/>
    <n v="33"/>
    <s v="Medium"/>
    <n v="10"/>
    <n v="0.5"/>
    <n v="29"/>
    <x v="0"/>
    <n v="20"/>
    <x v="47"/>
  </r>
  <r>
    <d v="2017-08-24T00:00:00"/>
    <x v="7"/>
    <x v="4"/>
    <n v="74.599999999999994"/>
    <n v="0"/>
    <x v="2"/>
    <n v="64"/>
    <s v="High"/>
    <n v="15"/>
    <n v="0.5"/>
    <n v="32"/>
    <x v="0"/>
    <n v="25"/>
    <x v="37"/>
  </r>
  <r>
    <d v="2017-08-25T00:00:00"/>
    <x v="7"/>
    <x v="5"/>
    <n v="71"/>
    <n v="0"/>
    <x v="2"/>
    <n v="55"/>
    <s v="High"/>
    <n v="15"/>
    <n v="0.5"/>
    <n v="30"/>
    <x v="0"/>
    <n v="25"/>
    <x v="46"/>
  </r>
  <r>
    <d v="2017-08-26T00:00:00"/>
    <x v="7"/>
    <x v="6"/>
    <n v="70"/>
    <n v="0"/>
    <x v="2"/>
    <n v="46"/>
    <s v="High"/>
    <n v="15"/>
    <n v="0.5"/>
    <n v="30"/>
    <x v="0"/>
    <n v="25"/>
    <x v="46"/>
  </r>
  <r>
    <d v="2017-08-27T00:00:00"/>
    <x v="7"/>
    <x v="0"/>
    <n v="65.7"/>
    <n v="0"/>
    <x v="2"/>
    <n v="45"/>
    <s v="High"/>
    <n v="15"/>
    <n v="0.5"/>
    <n v="29"/>
    <x v="0"/>
    <n v="25"/>
    <x v="47"/>
  </r>
  <r>
    <d v="2017-08-28T00:00:00"/>
    <x v="7"/>
    <x v="1"/>
    <n v="77.599999999999994"/>
    <n v="0.1"/>
    <x v="1"/>
    <n v="49"/>
    <s v="High"/>
    <n v="15"/>
    <n v="0.5"/>
    <n v="32"/>
    <x v="0"/>
    <n v="25"/>
    <x v="37"/>
  </r>
  <r>
    <d v="2017-08-29T00:00:00"/>
    <x v="7"/>
    <x v="2"/>
    <n v="75"/>
    <n v="0"/>
    <x v="2"/>
    <n v="40"/>
    <s v="Medium"/>
    <n v="10"/>
    <n v="0.5"/>
    <n v="30"/>
    <x v="0"/>
    <n v="20"/>
    <x v="46"/>
  </r>
  <r>
    <d v="2017-08-30T00:00:00"/>
    <x v="7"/>
    <x v="3"/>
    <n v="72"/>
    <n v="0"/>
    <x v="2"/>
    <n v="51"/>
    <s v="High"/>
    <n v="15"/>
    <n v="0.5"/>
    <n v="30"/>
    <x v="0"/>
    <n v="25"/>
    <x v="46"/>
  </r>
  <r>
    <d v="2017-08-31T00:00:00"/>
    <x v="7"/>
    <x v="4"/>
    <n v="67.7"/>
    <n v="0"/>
    <x v="2"/>
    <n v="58"/>
    <s v="High"/>
    <n v="15"/>
    <n v="0.5"/>
    <n v="29"/>
    <x v="0"/>
    <n v="25"/>
    <x v="47"/>
  </r>
  <r>
    <d v="2017-09-01T00:00:00"/>
    <x v="8"/>
    <x v="5"/>
    <n v="71.7"/>
    <n v="0"/>
    <x v="2"/>
    <n v="41"/>
    <s v="High"/>
    <n v="15"/>
    <n v="0.3"/>
    <n v="29"/>
    <x v="0"/>
    <n v="25"/>
    <x v="19"/>
  </r>
  <r>
    <d v="2017-09-02T00:00:00"/>
    <x v="8"/>
    <x v="6"/>
    <n v="67.400000000000006"/>
    <n v="0"/>
    <x v="2"/>
    <n v="53"/>
    <s v="High"/>
    <n v="15"/>
    <n v="0.3"/>
    <n v="28"/>
    <x v="0"/>
    <n v="25"/>
    <x v="18"/>
  </r>
  <r>
    <d v="2017-09-03T00:00:00"/>
    <x v="8"/>
    <x v="0"/>
    <n v="61.1"/>
    <n v="0"/>
    <x v="2"/>
    <n v="50"/>
    <s v="High"/>
    <n v="15"/>
    <n v="0.3"/>
    <n v="27"/>
    <x v="0"/>
    <n v="25"/>
    <x v="17"/>
  </r>
  <r>
    <d v="2017-09-04T00:00:00"/>
    <x v="8"/>
    <x v="1"/>
    <n v="59.8"/>
    <n v="0.74"/>
    <x v="1"/>
    <n v="54"/>
    <s v="High"/>
    <n v="15"/>
    <n v="0.3"/>
    <n v="26"/>
    <x v="0"/>
    <n v="15"/>
    <x v="16"/>
  </r>
  <r>
    <d v="2017-09-05T00:00:00"/>
    <x v="8"/>
    <x v="2"/>
    <n v="61.8"/>
    <n v="0.71"/>
    <x v="1"/>
    <n v="39"/>
    <s v="Medium"/>
    <n v="10"/>
    <n v="0.3"/>
    <n v="26"/>
    <x v="0"/>
    <n v="10"/>
    <x v="16"/>
  </r>
  <r>
    <d v="2017-09-06T00:00:00"/>
    <x v="8"/>
    <x v="3"/>
    <n v="71.7"/>
    <n v="0"/>
    <x v="2"/>
    <n v="60"/>
    <s v="High"/>
    <n v="15"/>
    <n v="0.3"/>
    <n v="29"/>
    <x v="0"/>
    <n v="25"/>
    <x v="19"/>
  </r>
  <r>
    <d v="2017-09-07T00:00:00"/>
    <x v="8"/>
    <x v="4"/>
    <n v="68.400000000000006"/>
    <n v="0"/>
    <x v="2"/>
    <n v="49"/>
    <s v="High"/>
    <n v="15"/>
    <n v="0.3"/>
    <n v="28"/>
    <x v="0"/>
    <n v="25"/>
    <x v="18"/>
  </r>
  <r>
    <d v="2017-09-08T00:00:00"/>
    <x v="8"/>
    <x v="5"/>
    <n v="65.099999999999994"/>
    <n v="0.71"/>
    <x v="1"/>
    <n v="37"/>
    <s v="Medium"/>
    <n v="10"/>
    <n v="0.3"/>
    <n v="27"/>
    <x v="0"/>
    <n v="20"/>
    <x v="17"/>
  </r>
  <r>
    <d v="2017-09-09T00:00:00"/>
    <x v="8"/>
    <x v="6"/>
    <n v="64.8"/>
    <n v="0.77"/>
    <x v="1"/>
    <n v="45"/>
    <s v="High"/>
    <n v="15"/>
    <n v="0.3"/>
    <n v="26"/>
    <x v="0"/>
    <n v="15"/>
    <x v="16"/>
  </r>
  <r>
    <d v="2017-09-10T00:00:00"/>
    <x v="8"/>
    <x v="0"/>
    <n v="61.8"/>
    <n v="0.74"/>
    <x v="1"/>
    <n v="50"/>
    <s v="High"/>
    <n v="15"/>
    <n v="0.3"/>
    <n v="26"/>
    <x v="0"/>
    <n v="15"/>
    <x v="16"/>
  </r>
  <r>
    <d v="2017-09-11T00:00:00"/>
    <x v="8"/>
    <x v="1"/>
    <n v="68.400000000000006"/>
    <n v="0"/>
    <x v="2"/>
    <n v="38"/>
    <s v="Medium"/>
    <n v="10"/>
    <n v="0.3"/>
    <n v="28"/>
    <x v="0"/>
    <n v="20"/>
    <x v="18"/>
  </r>
  <r>
    <d v="2017-09-12T00:00:00"/>
    <x v="8"/>
    <x v="2"/>
    <n v="61.1"/>
    <n v="0.71"/>
    <x v="1"/>
    <n v="36"/>
    <s v="Medium"/>
    <n v="10"/>
    <n v="0.3"/>
    <n v="27"/>
    <x v="0"/>
    <n v="20"/>
    <x v="17"/>
  </r>
  <r>
    <d v="2017-09-13T00:00:00"/>
    <x v="8"/>
    <x v="3"/>
    <n v="64.8"/>
    <n v="0.71"/>
    <x v="1"/>
    <n v="42"/>
    <s v="High"/>
    <n v="15"/>
    <n v="0.3"/>
    <n v="26"/>
    <x v="0"/>
    <n v="15"/>
    <x v="16"/>
  </r>
  <r>
    <d v="2017-09-14T00:00:00"/>
    <x v="8"/>
    <x v="4"/>
    <n v="63.8"/>
    <n v="0.71"/>
    <x v="1"/>
    <n v="29"/>
    <s v="Medium"/>
    <n v="10"/>
    <n v="0.3"/>
    <n v="26"/>
    <x v="0"/>
    <n v="10"/>
    <x v="16"/>
  </r>
  <r>
    <d v="2017-09-15T00:00:00"/>
    <x v="8"/>
    <x v="5"/>
    <n v="63.4"/>
    <n v="0"/>
    <x v="2"/>
    <n v="41"/>
    <s v="High"/>
    <n v="15"/>
    <n v="0.3"/>
    <n v="28"/>
    <x v="0"/>
    <n v="25"/>
    <x v="18"/>
  </r>
  <r>
    <d v="2017-09-16T00:00:00"/>
    <x v="8"/>
    <x v="6"/>
    <n v="68.099999999999994"/>
    <n v="0"/>
    <x v="2"/>
    <n v="37"/>
    <s v="Medium"/>
    <n v="10"/>
    <n v="0.3"/>
    <n v="27"/>
    <x v="0"/>
    <n v="20"/>
    <x v="17"/>
  </r>
  <r>
    <d v="2017-09-17T00:00:00"/>
    <x v="8"/>
    <x v="0"/>
    <n v="59.8"/>
    <n v="0.71"/>
    <x v="1"/>
    <n v="53"/>
    <s v="High"/>
    <n v="15"/>
    <n v="0.3"/>
    <n v="26"/>
    <x v="0"/>
    <n v="15"/>
    <x v="16"/>
  </r>
  <r>
    <d v="2017-09-18T00:00:00"/>
    <x v="8"/>
    <x v="1"/>
    <n v="64.8"/>
    <n v="0.71"/>
    <x v="1"/>
    <n v="37"/>
    <s v="Medium"/>
    <n v="10"/>
    <n v="0.3"/>
    <n v="26"/>
    <x v="0"/>
    <n v="10"/>
    <x v="16"/>
  </r>
  <r>
    <d v="2017-09-19T00:00:00"/>
    <x v="8"/>
    <x v="2"/>
    <n v="67.400000000000006"/>
    <n v="0"/>
    <x v="2"/>
    <n v="48"/>
    <s v="High"/>
    <n v="15"/>
    <n v="0.3"/>
    <n v="28"/>
    <x v="0"/>
    <n v="25"/>
    <x v="18"/>
  </r>
  <r>
    <d v="2017-09-20T00:00:00"/>
    <x v="8"/>
    <x v="3"/>
    <n v="67.099999999999994"/>
    <n v="0"/>
    <x v="2"/>
    <n v="52"/>
    <s v="High"/>
    <n v="15"/>
    <n v="0.3"/>
    <n v="27"/>
    <x v="0"/>
    <n v="25"/>
    <x v="17"/>
  </r>
  <r>
    <d v="2017-09-21T00:00:00"/>
    <x v="8"/>
    <x v="4"/>
    <n v="59.8"/>
    <n v="0.71"/>
    <x v="1"/>
    <n v="42"/>
    <s v="High"/>
    <n v="15"/>
    <n v="0.3"/>
    <n v="26"/>
    <x v="0"/>
    <n v="15"/>
    <x v="16"/>
  </r>
  <r>
    <d v="2017-09-22T00:00:00"/>
    <x v="8"/>
    <x v="5"/>
    <n v="64.8"/>
    <n v="0.74"/>
    <x v="1"/>
    <n v="34"/>
    <s v="Medium"/>
    <n v="10"/>
    <n v="0.3"/>
    <n v="26"/>
    <x v="0"/>
    <n v="10"/>
    <x v="16"/>
  </r>
  <r>
    <d v="2017-09-23T00:00:00"/>
    <x v="8"/>
    <x v="6"/>
    <n v="63.4"/>
    <n v="0.71"/>
    <x v="1"/>
    <n v="39"/>
    <s v="Medium"/>
    <n v="10"/>
    <n v="0.3"/>
    <n v="28"/>
    <x v="0"/>
    <n v="20"/>
    <x v="18"/>
  </r>
  <r>
    <d v="2017-09-24T00:00:00"/>
    <x v="8"/>
    <x v="0"/>
    <n v="63.4"/>
    <n v="0.71"/>
    <x v="1"/>
    <n v="43"/>
    <s v="High"/>
    <n v="15"/>
    <n v="0.3"/>
    <n v="28"/>
    <x v="0"/>
    <n v="25"/>
    <x v="18"/>
  </r>
  <r>
    <d v="2017-09-25T00:00:00"/>
    <x v="8"/>
    <x v="1"/>
    <n v="61.1"/>
    <n v="0.71"/>
    <x v="1"/>
    <n v="33"/>
    <s v="Medium"/>
    <n v="10"/>
    <n v="0.3"/>
    <n v="27"/>
    <x v="0"/>
    <n v="20"/>
    <x v="17"/>
  </r>
  <r>
    <d v="2017-09-26T00:00:00"/>
    <x v="8"/>
    <x v="2"/>
    <n v="61.8"/>
    <n v="0.77"/>
    <x v="1"/>
    <n v="51"/>
    <s v="High"/>
    <n v="15"/>
    <n v="0.3"/>
    <n v="26"/>
    <x v="0"/>
    <n v="15"/>
    <x v="16"/>
  </r>
  <r>
    <d v="2017-09-27T00:00:00"/>
    <x v="8"/>
    <x v="3"/>
    <n v="70.7"/>
    <n v="0"/>
    <x v="2"/>
    <n v="51"/>
    <s v="High"/>
    <n v="15"/>
    <n v="0.3"/>
    <n v="29"/>
    <x v="0"/>
    <n v="25"/>
    <x v="19"/>
  </r>
  <r>
    <d v="2017-09-28T00:00:00"/>
    <x v="8"/>
    <x v="4"/>
    <n v="67.400000000000006"/>
    <n v="0"/>
    <x v="2"/>
    <n v="38"/>
    <s v="Medium"/>
    <n v="10"/>
    <n v="0.3"/>
    <n v="28"/>
    <x v="0"/>
    <n v="20"/>
    <x v="18"/>
  </r>
  <r>
    <d v="2017-09-29T00:00:00"/>
    <x v="8"/>
    <x v="5"/>
    <n v="66.099999999999994"/>
    <n v="0.71"/>
    <x v="1"/>
    <n v="48"/>
    <s v="High"/>
    <n v="15"/>
    <n v="0.3"/>
    <n v="27"/>
    <x v="0"/>
    <n v="25"/>
    <x v="17"/>
  </r>
  <r>
    <d v="2017-09-30T00:00:00"/>
    <x v="8"/>
    <x v="6"/>
    <n v="64.8"/>
    <n v="0.74"/>
    <x v="1"/>
    <n v="29"/>
    <s v="Medium"/>
    <n v="10"/>
    <n v="0.3"/>
    <n v="26"/>
    <x v="0"/>
    <n v="10"/>
    <x v="16"/>
  </r>
  <r>
    <d v="2017-10-01T00:00:00"/>
    <x v="9"/>
    <x v="0"/>
    <n v="56.5"/>
    <n v="0.8"/>
    <x v="1"/>
    <n v="43"/>
    <s v="High"/>
    <n v="15"/>
    <n v="0.3"/>
    <n v="25"/>
    <x v="0"/>
    <n v="15"/>
    <x v="15"/>
  </r>
  <r>
    <d v="2017-10-02T00:00:00"/>
    <x v="9"/>
    <x v="1"/>
    <n v="58.5"/>
    <n v="0.74"/>
    <x v="1"/>
    <n v="32"/>
    <s v="Medium"/>
    <n v="10"/>
    <n v="0.3"/>
    <n v="25"/>
    <x v="0"/>
    <n v="10"/>
    <x v="15"/>
  </r>
  <r>
    <d v="2017-10-03T00:00:00"/>
    <x v="9"/>
    <x v="2"/>
    <n v="59.2"/>
    <n v="0.8"/>
    <x v="1"/>
    <n v="34"/>
    <s v="Medium"/>
    <n v="10"/>
    <n v="0.3"/>
    <n v="24"/>
    <x v="0"/>
    <n v="10"/>
    <x v="14"/>
  </r>
  <r>
    <d v="2017-10-04T00:00:00"/>
    <x v="9"/>
    <x v="3"/>
    <n v="61.2"/>
    <n v="0.77"/>
    <x v="1"/>
    <n v="33"/>
    <s v="Medium"/>
    <n v="10"/>
    <n v="0.3"/>
    <n v="24"/>
    <x v="0"/>
    <n v="10"/>
    <x v="14"/>
  </r>
  <r>
    <d v="2017-10-05T00:00:00"/>
    <x v="9"/>
    <x v="4"/>
    <n v="60.5"/>
    <n v="0.8"/>
    <x v="1"/>
    <n v="33"/>
    <s v="Medium"/>
    <n v="10"/>
    <n v="0.3"/>
    <n v="25"/>
    <x v="0"/>
    <n v="10"/>
    <x v="15"/>
  </r>
  <r>
    <d v="2017-10-06T00:00:00"/>
    <x v="9"/>
    <x v="5"/>
    <n v="62.5"/>
    <n v="0.74"/>
    <x v="1"/>
    <n v="42"/>
    <s v="High"/>
    <n v="15"/>
    <n v="0.3"/>
    <n v="25"/>
    <x v="0"/>
    <n v="15"/>
    <x v="15"/>
  </r>
  <r>
    <d v="2017-10-07T00:00:00"/>
    <x v="9"/>
    <x v="6"/>
    <n v="63.5"/>
    <n v="0.8"/>
    <x v="1"/>
    <n v="31"/>
    <s v="Medium"/>
    <n v="10"/>
    <n v="0.3"/>
    <n v="25"/>
    <x v="0"/>
    <n v="10"/>
    <x v="15"/>
  </r>
  <r>
    <d v="2017-10-08T00:00:00"/>
    <x v="9"/>
    <x v="0"/>
    <n v="60.2"/>
    <n v="0.8"/>
    <x v="1"/>
    <n v="47"/>
    <s v="High"/>
    <n v="15"/>
    <n v="0.3"/>
    <n v="24"/>
    <x v="0"/>
    <n v="15"/>
    <x v="14"/>
  </r>
  <r>
    <d v="2017-10-09T00:00:00"/>
    <x v="9"/>
    <x v="1"/>
    <n v="63.5"/>
    <n v="0.74"/>
    <x v="1"/>
    <n v="47"/>
    <s v="High"/>
    <n v="15"/>
    <n v="0.3"/>
    <n v="25"/>
    <x v="0"/>
    <n v="15"/>
    <x v="15"/>
  </r>
  <r>
    <d v="2017-10-10T00:00:00"/>
    <x v="9"/>
    <x v="2"/>
    <n v="58.5"/>
    <n v="0.74"/>
    <x v="1"/>
    <n v="51"/>
    <s v="High"/>
    <n v="15"/>
    <n v="0.3"/>
    <n v="25"/>
    <x v="0"/>
    <n v="15"/>
    <x v="15"/>
  </r>
  <r>
    <d v="2017-10-11T00:00:00"/>
    <x v="9"/>
    <x v="3"/>
    <n v="61.5"/>
    <n v="0.77"/>
    <x v="1"/>
    <n v="47"/>
    <s v="High"/>
    <n v="15"/>
    <n v="0.3"/>
    <n v="25"/>
    <x v="0"/>
    <n v="15"/>
    <x v="15"/>
  </r>
  <r>
    <d v="2017-10-12T00:00:00"/>
    <x v="9"/>
    <x v="4"/>
    <n v="58.2"/>
    <n v="0.77"/>
    <x v="1"/>
    <n v="39"/>
    <s v="Medium"/>
    <n v="10"/>
    <n v="0.3"/>
    <n v="24"/>
    <x v="0"/>
    <n v="10"/>
    <x v="14"/>
  </r>
  <r>
    <d v="2017-10-13T00:00:00"/>
    <x v="9"/>
    <x v="5"/>
    <n v="61.5"/>
    <n v="0.8"/>
    <x v="1"/>
    <n v="28"/>
    <s v="Medium"/>
    <n v="10"/>
    <n v="0.3"/>
    <n v="25"/>
    <x v="0"/>
    <n v="10"/>
    <x v="15"/>
  </r>
  <r>
    <d v="2017-10-14T00:00:00"/>
    <x v="9"/>
    <x v="6"/>
    <n v="59.5"/>
    <n v="0.74"/>
    <x v="1"/>
    <n v="28"/>
    <s v="Medium"/>
    <n v="10"/>
    <n v="0.3"/>
    <n v="25"/>
    <x v="0"/>
    <n v="10"/>
    <x v="15"/>
  </r>
  <r>
    <d v="2017-10-15T00:00:00"/>
    <x v="9"/>
    <x v="0"/>
    <n v="61.5"/>
    <n v="0.74"/>
    <x v="1"/>
    <n v="36"/>
    <s v="Medium"/>
    <n v="10"/>
    <n v="0.3"/>
    <n v="25"/>
    <x v="0"/>
    <n v="10"/>
    <x v="15"/>
  </r>
  <r>
    <d v="2017-10-16T00:00:00"/>
    <x v="9"/>
    <x v="1"/>
    <n v="58.2"/>
    <n v="0.8"/>
    <x v="1"/>
    <n v="28"/>
    <s v="Medium"/>
    <n v="10"/>
    <n v="0.3"/>
    <n v="24"/>
    <x v="0"/>
    <n v="10"/>
    <x v="14"/>
  </r>
  <r>
    <d v="2017-10-17T00:00:00"/>
    <x v="9"/>
    <x v="2"/>
    <n v="58.5"/>
    <n v="0.77"/>
    <x v="1"/>
    <n v="46"/>
    <s v="High"/>
    <n v="15"/>
    <n v="0.3"/>
    <n v="25"/>
    <x v="0"/>
    <n v="15"/>
    <x v="15"/>
  </r>
  <r>
    <d v="2017-10-18T00:00:00"/>
    <x v="9"/>
    <x v="3"/>
    <n v="62.5"/>
    <n v="0"/>
    <x v="2"/>
    <n v="33"/>
    <s v="Medium"/>
    <n v="10"/>
    <n v="0.3"/>
    <n v="25"/>
    <x v="0"/>
    <n v="10"/>
    <x v="15"/>
  </r>
  <r>
    <d v="2017-10-19T00:00:00"/>
    <x v="9"/>
    <x v="4"/>
    <n v="60.5"/>
    <n v="0"/>
    <x v="2"/>
    <n v="41"/>
    <s v="High"/>
    <n v="15"/>
    <n v="0.3"/>
    <n v="25"/>
    <x v="0"/>
    <n v="15"/>
    <x v="15"/>
  </r>
  <r>
    <d v="2017-10-20T00:00:00"/>
    <x v="9"/>
    <x v="5"/>
    <n v="60.2"/>
    <n v="0.8"/>
    <x v="1"/>
    <n v="50"/>
    <s v="High"/>
    <n v="15"/>
    <n v="0.3"/>
    <n v="24"/>
    <x v="0"/>
    <n v="15"/>
    <x v="14"/>
  </r>
  <r>
    <d v="2017-10-21T00:00:00"/>
    <x v="9"/>
    <x v="6"/>
    <n v="56.2"/>
    <n v="0.83"/>
    <x v="1"/>
    <n v="28"/>
    <s v="Medium"/>
    <n v="10"/>
    <n v="0.3"/>
    <n v="24"/>
    <x v="0"/>
    <n v="10"/>
    <x v="14"/>
  </r>
  <r>
    <d v="2017-10-22T00:00:00"/>
    <x v="9"/>
    <x v="0"/>
    <n v="57.5"/>
    <n v="0.77"/>
    <x v="1"/>
    <n v="35"/>
    <s v="Medium"/>
    <n v="10"/>
    <n v="0.3"/>
    <n v="25"/>
    <x v="0"/>
    <n v="10"/>
    <x v="15"/>
  </r>
  <r>
    <d v="2017-10-23T00:00:00"/>
    <x v="9"/>
    <x v="1"/>
    <n v="58.5"/>
    <n v="0.8"/>
    <x v="1"/>
    <n v="50"/>
    <s v="High"/>
    <n v="15"/>
    <n v="0.3"/>
    <n v="25"/>
    <x v="0"/>
    <n v="15"/>
    <x v="15"/>
  </r>
  <r>
    <d v="2017-10-24T00:00:00"/>
    <x v="9"/>
    <x v="2"/>
    <n v="61.5"/>
    <n v="0.74"/>
    <x v="1"/>
    <n v="48"/>
    <s v="High"/>
    <n v="15"/>
    <n v="0.3"/>
    <n v="25"/>
    <x v="0"/>
    <n v="15"/>
    <x v="15"/>
  </r>
  <r>
    <d v="2017-10-25T00:00:00"/>
    <x v="9"/>
    <x v="3"/>
    <n v="61.2"/>
    <n v="0"/>
    <x v="2"/>
    <n v="44"/>
    <s v="High"/>
    <n v="15"/>
    <n v="0.3"/>
    <n v="24"/>
    <x v="0"/>
    <n v="15"/>
    <x v="14"/>
  </r>
  <r>
    <d v="2017-10-26T00:00:00"/>
    <x v="9"/>
    <x v="4"/>
    <n v="54.2"/>
    <n v="0.77"/>
    <x v="1"/>
    <n v="47"/>
    <s v="High"/>
    <n v="15"/>
    <n v="0.3"/>
    <n v="24"/>
    <x v="0"/>
    <n v="15"/>
    <x v="14"/>
  </r>
  <r>
    <d v="2017-10-27T00:00:00"/>
    <x v="9"/>
    <x v="5"/>
    <n v="62.8"/>
    <n v="0.71"/>
    <x v="1"/>
    <n v="52"/>
    <s v="High"/>
    <n v="15"/>
    <n v="0.3"/>
    <n v="26"/>
    <x v="0"/>
    <n v="15"/>
    <x v="16"/>
  </r>
  <r>
    <d v="2017-10-28T00:00:00"/>
    <x v="9"/>
    <x v="6"/>
    <n v="57.5"/>
    <n v="0.77"/>
    <x v="1"/>
    <n v="28"/>
    <s v="Medium"/>
    <n v="10"/>
    <n v="0.3"/>
    <n v="25"/>
    <x v="0"/>
    <n v="10"/>
    <x v="15"/>
  </r>
  <r>
    <d v="2017-10-29T00:00:00"/>
    <x v="9"/>
    <x v="0"/>
    <n v="61.5"/>
    <n v="0"/>
    <x v="2"/>
    <n v="34"/>
    <s v="Medium"/>
    <n v="10"/>
    <n v="0.3"/>
    <n v="25"/>
    <x v="0"/>
    <n v="10"/>
    <x v="15"/>
  </r>
  <r>
    <d v="2017-10-30T00:00:00"/>
    <x v="9"/>
    <x v="1"/>
    <n v="58.2"/>
    <n v="0"/>
    <x v="2"/>
    <n v="35"/>
    <s v="Medium"/>
    <n v="10"/>
    <n v="0.3"/>
    <n v="24"/>
    <x v="0"/>
    <n v="10"/>
    <x v="14"/>
  </r>
  <r>
    <d v="2017-10-31T00:00:00"/>
    <x v="9"/>
    <x v="2"/>
    <n v="54.2"/>
    <n v="0"/>
    <x v="2"/>
    <n v="38"/>
    <s v="Medium"/>
    <n v="10"/>
    <n v="0.3"/>
    <n v="24"/>
    <x v="0"/>
    <n v="10"/>
    <x v="14"/>
  </r>
  <r>
    <d v="2017-11-01T00:00:00"/>
    <x v="10"/>
    <x v="3"/>
    <n v="51.9"/>
    <n v="0"/>
    <x v="2"/>
    <n v="43"/>
    <s v="High"/>
    <n v="15"/>
    <n v="0.3"/>
    <n v="23"/>
    <x v="0"/>
    <n v="15"/>
    <x v="13"/>
  </r>
  <r>
    <d v="2017-11-02T00:00:00"/>
    <x v="10"/>
    <x v="4"/>
    <n v="53.6"/>
    <n v="0.91"/>
    <x v="1"/>
    <n v="46"/>
    <s v="High"/>
    <n v="15"/>
    <n v="0.3"/>
    <n v="22"/>
    <x v="0"/>
    <n v="15"/>
    <x v="11"/>
  </r>
  <r>
    <d v="2017-11-03T00:00:00"/>
    <x v="10"/>
    <x v="5"/>
    <n v="51.3"/>
    <n v="0.87"/>
    <x v="1"/>
    <n v="38"/>
    <s v="Medium"/>
    <n v="10"/>
    <n v="0.3"/>
    <n v="21"/>
    <x v="0"/>
    <n v="10"/>
    <x v="10"/>
  </r>
  <r>
    <d v="2017-11-04T00:00:00"/>
    <x v="10"/>
    <x v="6"/>
    <n v="48.7"/>
    <n v="0.95"/>
    <x v="1"/>
    <n v="39"/>
    <s v="Medium"/>
    <n v="10"/>
    <n v="0.3"/>
    <n v="19"/>
    <x v="0"/>
    <n v="10"/>
    <x v="12"/>
  </r>
  <r>
    <d v="2017-11-05T00:00:00"/>
    <x v="10"/>
    <x v="0"/>
    <n v="55.9"/>
    <n v="0.87"/>
    <x v="1"/>
    <n v="45"/>
    <s v="High"/>
    <n v="15"/>
    <n v="0.3"/>
    <n v="23"/>
    <x v="0"/>
    <n v="15"/>
    <x v="13"/>
  </r>
  <r>
    <d v="2017-11-06T00:00:00"/>
    <x v="10"/>
    <x v="1"/>
    <n v="51.6"/>
    <n v="0.91"/>
    <x v="1"/>
    <n v="28"/>
    <s v="Medium"/>
    <n v="10"/>
    <n v="0.3"/>
    <n v="22"/>
    <x v="0"/>
    <n v="10"/>
    <x v="11"/>
  </r>
  <r>
    <d v="2017-11-07T00:00:00"/>
    <x v="10"/>
    <x v="2"/>
    <n v="52.3"/>
    <n v="0.91"/>
    <x v="1"/>
    <n v="34"/>
    <s v="Medium"/>
    <n v="10"/>
    <n v="0.3"/>
    <n v="21"/>
    <x v="0"/>
    <n v="10"/>
    <x v="10"/>
  </r>
  <r>
    <d v="2017-11-08T00:00:00"/>
    <x v="10"/>
    <x v="3"/>
    <n v="44.7"/>
    <n v="0.95"/>
    <x v="1"/>
    <n v="37"/>
    <s v="Medium"/>
    <n v="10"/>
    <n v="0.3"/>
    <n v="19"/>
    <x v="0"/>
    <n v="10"/>
    <x v="12"/>
  </r>
  <r>
    <d v="2017-11-09T00:00:00"/>
    <x v="10"/>
    <x v="4"/>
    <n v="53.9"/>
    <n v="0.83"/>
    <x v="1"/>
    <n v="33"/>
    <s v="Medium"/>
    <n v="10"/>
    <n v="0.3"/>
    <n v="23"/>
    <x v="0"/>
    <n v="10"/>
    <x v="13"/>
  </r>
  <r>
    <d v="2017-11-10T00:00:00"/>
    <x v="10"/>
    <x v="5"/>
    <n v="54.6"/>
    <n v="0.87"/>
    <x v="1"/>
    <n v="28"/>
    <s v="Medium"/>
    <n v="10"/>
    <n v="0.3"/>
    <n v="22"/>
    <x v="0"/>
    <n v="10"/>
    <x v="11"/>
  </r>
  <r>
    <d v="2017-11-11T00:00:00"/>
    <x v="10"/>
    <x v="6"/>
    <n v="47.3"/>
    <n v="0.91"/>
    <x v="1"/>
    <n v="33"/>
    <s v="Medium"/>
    <n v="10"/>
    <n v="0.3"/>
    <n v="21"/>
    <x v="0"/>
    <n v="10"/>
    <x v="10"/>
  </r>
  <r>
    <d v="2017-11-12T00:00:00"/>
    <x v="10"/>
    <x v="0"/>
    <n v="49.7"/>
    <n v="0"/>
    <x v="2"/>
    <n v="38"/>
    <s v="Medium"/>
    <n v="10"/>
    <n v="0.3"/>
    <n v="19"/>
    <x v="0"/>
    <n v="10"/>
    <x v="12"/>
  </r>
  <r>
    <d v="2017-11-13T00:00:00"/>
    <x v="10"/>
    <x v="1"/>
    <n v="44.7"/>
    <n v="1.05"/>
    <x v="0"/>
    <n v="26"/>
    <s v="Medium"/>
    <n v="10"/>
    <n v="0.3"/>
    <n v="19"/>
    <x v="0"/>
    <n v="10"/>
    <x v="12"/>
  </r>
  <r>
    <d v="2017-11-14T00:00:00"/>
    <x v="10"/>
    <x v="2"/>
    <n v="55.9"/>
    <n v="0.8"/>
    <x v="1"/>
    <n v="28"/>
    <s v="Medium"/>
    <n v="10"/>
    <n v="0.3"/>
    <n v="23"/>
    <x v="0"/>
    <n v="10"/>
    <x v="13"/>
  </r>
  <r>
    <d v="2017-11-15T00:00:00"/>
    <x v="10"/>
    <x v="3"/>
    <n v="55.9"/>
    <n v="0"/>
    <x v="2"/>
    <n v="47"/>
    <s v="High"/>
    <n v="15"/>
    <n v="0.3"/>
    <n v="23"/>
    <x v="0"/>
    <n v="15"/>
    <x v="13"/>
  </r>
  <r>
    <d v="2017-11-16T00:00:00"/>
    <x v="10"/>
    <x v="4"/>
    <n v="47.3"/>
    <n v="0.87"/>
    <x v="1"/>
    <n v="28"/>
    <s v="Medium"/>
    <n v="10"/>
    <n v="0.3"/>
    <n v="21"/>
    <x v="0"/>
    <n v="10"/>
    <x v="10"/>
  </r>
  <r>
    <d v="2017-11-17T00:00:00"/>
    <x v="10"/>
    <x v="5"/>
    <n v="46"/>
    <n v="1"/>
    <x v="1"/>
    <n v="31"/>
    <s v="Medium"/>
    <n v="10"/>
    <n v="0.3"/>
    <n v="20"/>
    <x v="0"/>
    <n v="10"/>
    <x v="9"/>
  </r>
  <r>
    <d v="2017-11-18T00:00:00"/>
    <x v="10"/>
    <x v="6"/>
    <n v="48.7"/>
    <n v="1.05"/>
    <x v="0"/>
    <n v="37"/>
    <s v="Medium"/>
    <n v="10"/>
    <n v="0.3"/>
    <n v="19"/>
    <x v="0"/>
    <n v="10"/>
    <x v="12"/>
  </r>
  <r>
    <d v="2017-11-19T00:00:00"/>
    <x v="10"/>
    <x v="0"/>
    <n v="55.9"/>
    <n v="0"/>
    <x v="2"/>
    <n v="34"/>
    <s v="Medium"/>
    <n v="10"/>
    <n v="0.3"/>
    <n v="23"/>
    <x v="0"/>
    <n v="10"/>
    <x v="13"/>
  </r>
  <r>
    <d v="2017-11-20T00:00:00"/>
    <x v="10"/>
    <x v="1"/>
    <n v="55.6"/>
    <n v="0.87"/>
    <x v="1"/>
    <n v="41"/>
    <s v="High"/>
    <n v="15"/>
    <n v="0.3"/>
    <n v="22"/>
    <x v="0"/>
    <n v="15"/>
    <x v="11"/>
  </r>
  <r>
    <d v="2017-11-21T00:00:00"/>
    <x v="10"/>
    <x v="2"/>
    <n v="47"/>
    <n v="0.95"/>
    <x v="1"/>
    <n v="28"/>
    <s v="Medium"/>
    <n v="10"/>
    <n v="0.3"/>
    <n v="20"/>
    <x v="0"/>
    <n v="10"/>
    <x v="9"/>
  </r>
  <r>
    <d v="2017-11-22T00:00:00"/>
    <x v="10"/>
    <x v="3"/>
    <n v="48.7"/>
    <n v="0"/>
    <x v="2"/>
    <n v="40"/>
    <s v="Medium"/>
    <n v="10"/>
    <n v="0.3"/>
    <n v="19"/>
    <x v="0"/>
    <n v="10"/>
    <x v="12"/>
  </r>
  <r>
    <d v="2017-11-23T00:00:00"/>
    <x v="10"/>
    <x v="4"/>
    <n v="51.9"/>
    <n v="0.87"/>
    <x v="1"/>
    <n v="47"/>
    <s v="High"/>
    <n v="15"/>
    <n v="0.3"/>
    <n v="23"/>
    <x v="0"/>
    <n v="15"/>
    <x v="13"/>
  </r>
  <r>
    <d v="2017-11-24T00:00:00"/>
    <x v="10"/>
    <x v="5"/>
    <n v="53.6"/>
    <n v="0"/>
    <x v="2"/>
    <n v="46"/>
    <s v="High"/>
    <n v="15"/>
    <n v="0.3"/>
    <n v="22"/>
    <x v="0"/>
    <n v="15"/>
    <x v="11"/>
  </r>
  <r>
    <d v="2017-11-25T00:00:00"/>
    <x v="10"/>
    <x v="6"/>
    <n v="49"/>
    <n v="0.91"/>
    <x v="1"/>
    <n v="32"/>
    <s v="Medium"/>
    <n v="10"/>
    <n v="0.3"/>
    <n v="20"/>
    <x v="0"/>
    <n v="10"/>
    <x v="9"/>
  </r>
  <r>
    <d v="2017-11-26T00:00:00"/>
    <x v="10"/>
    <x v="0"/>
    <n v="49.7"/>
    <n v="1.05"/>
    <x v="0"/>
    <n v="30"/>
    <s v="Medium"/>
    <n v="10"/>
    <n v="0.3"/>
    <n v="19"/>
    <x v="0"/>
    <n v="10"/>
    <x v="12"/>
  </r>
  <r>
    <d v="2017-11-27T00:00:00"/>
    <x v="10"/>
    <x v="1"/>
    <n v="53.9"/>
    <n v="0.87"/>
    <x v="1"/>
    <n v="30"/>
    <s v="Medium"/>
    <n v="10"/>
    <n v="0.3"/>
    <n v="23"/>
    <x v="0"/>
    <n v="10"/>
    <x v="13"/>
  </r>
  <r>
    <d v="2017-11-28T00:00:00"/>
    <x v="10"/>
    <x v="2"/>
    <n v="54.6"/>
    <n v="0.91"/>
    <x v="1"/>
    <n v="37"/>
    <s v="Medium"/>
    <n v="10"/>
    <n v="0.3"/>
    <n v="22"/>
    <x v="0"/>
    <n v="10"/>
    <x v="11"/>
  </r>
  <r>
    <d v="2017-11-29T00:00:00"/>
    <x v="10"/>
    <x v="3"/>
    <n v="50"/>
    <n v="0.95"/>
    <x v="1"/>
    <n v="27"/>
    <s v="Medium"/>
    <n v="10"/>
    <n v="0.3"/>
    <n v="20"/>
    <x v="0"/>
    <n v="10"/>
    <x v="9"/>
  </r>
  <r>
    <d v="2017-11-30T00:00:00"/>
    <x v="10"/>
    <x v="4"/>
    <n v="44.7"/>
    <n v="1.05"/>
    <x v="0"/>
    <n v="28"/>
    <s v="Medium"/>
    <n v="10"/>
    <n v="0.3"/>
    <n v="19"/>
    <x v="0"/>
    <n v="10"/>
    <x v="12"/>
  </r>
  <r>
    <d v="2017-12-01T00:00:00"/>
    <x v="11"/>
    <x v="5"/>
    <n v="48.7"/>
    <n v="1"/>
    <x v="1"/>
    <n v="34"/>
    <s v="Medium"/>
    <n v="10"/>
    <n v="0.3"/>
    <n v="19"/>
    <x v="0"/>
    <n v="10"/>
    <x v="12"/>
  </r>
  <r>
    <d v="2017-12-02T00:00:00"/>
    <x v="11"/>
    <x v="6"/>
    <n v="44.1"/>
    <n v="1.1100000000000001"/>
    <x v="0"/>
    <n v="35"/>
    <s v="Medium"/>
    <n v="10"/>
    <n v="0.3"/>
    <n v="17"/>
    <x v="0"/>
    <n v="10"/>
    <x v="3"/>
  </r>
  <r>
    <d v="2017-12-03T00:00:00"/>
    <x v="11"/>
    <x v="0"/>
    <n v="33.5"/>
    <n v="1.18"/>
    <x v="0"/>
    <n v="19"/>
    <s v="Low"/>
    <n v="5"/>
    <n v="0.3"/>
    <n v="15"/>
    <x v="0"/>
    <n v="5"/>
    <x v="2"/>
  </r>
  <r>
    <d v="2017-12-04T00:00:00"/>
    <x v="11"/>
    <x v="1"/>
    <n v="34.9"/>
    <n v="1.54"/>
    <x v="0"/>
    <n v="16"/>
    <s v="Low"/>
    <n v="5"/>
    <n v="0.3"/>
    <n v="13"/>
    <x v="0"/>
    <n v="5"/>
    <x v="1"/>
  </r>
  <r>
    <d v="2017-12-05T00:00:00"/>
    <x v="11"/>
    <x v="2"/>
    <n v="22"/>
    <n v="0"/>
    <x v="2"/>
    <n v="11"/>
    <s v="Low"/>
    <n v="5"/>
    <n v="0.3"/>
    <n v="10"/>
    <x v="0"/>
    <n v="5"/>
    <x v="0"/>
  </r>
  <r>
    <d v="2017-12-06T00:00:00"/>
    <x v="11"/>
    <x v="3"/>
    <n v="44.7"/>
    <n v="0"/>
    <x v="2"/>
    <n v="28"/>
    <s v="Medium"/>
    <n v="10"/>
    <n v="0.3"/>
    <n v="19"/>
    <x v="0"/>
    <n v="10"/>
    <x v="12"/>
  </r>
  <r>
    <d v="2017-12-07T00:00:00"/>
    <x v="11"/>
    <x v="4"/>
    <n v="42.1"/>
    <n v="0"/>
    <x v="2"/>
    <n v="26"/>
    <s v="Medium"/>
    <n v="10"/>
    <n v="0.3"/>
    <n v="17"/>
    <x v="0"/>
    <n v="10"/>
    <x v="3"/>
  </r>
  <r>
    <d v="2017-12-08T00:00:00"/>
    <x v="11"/>
    <x v="5"/>
    <n v="40.5"/>
    <n v="0"/>
    <x v="2"/>
    <n v="30"/>
    <s v="Medium"/>
    <n v="10"/>
    <n v="0.3"/>
    <n v="15"/>
    <x v="0"/>
    <n v="10"/>
    <x v="2"/>
  </r>
  <r>
    <d v="2017-12-09T00:00:00"/>
    <x v="11"/>
    <x v="6"/>
    <n v="31.2"/>
    <n v="1.43"/>
    <x v="0"/>
    <n v="19"/>
    <s v="Low"/>
    <n v="5"/>
    <n v="0.3"/>
    <n v="14"/>
    <x v="0"/>
    <n v="5"/>
    <x v="7"/>
  </r>
  <r>
    <d v="2017-12-10T00:00:00"/>
    <x v="11"/>
    <x v="0"/>
    <n v="31.3"/>
    <n v="1.82"/>
    <x v="0"/>
    <n v="15"/>
    <s v="Low"/>
    <n v="5"/>
    <n v="0.3"/>
    <n v="11"/>
    <x v="0"/>
    <n v="5"/>
    <x v="5"/>
  </r>
  <r>
    <d v="2017-12-11T00:00:00"/>
    <x v="11"/>
    <x v="1"/>
    <n v="45.1"/>
    <n v="0"/>
    <x v="2"/>
    <n v="33"/>
    <s v="Medium"/>
    <n v="10"/>
    <n v="0.3"/>
    <n v="17"/>
    <x v="0"/>
    <n v="10"/>
    <x v="3"/>
  </r>
  <r>
    <d v="2017-12-12T00:00:00"/>
    <x v="11"/>
    <x v="2"/>
    <n v="33.5"/>
    <n v="0"/>
    <x v="2"/>
    <n v="22"/>
    <s v="Medium"/>
    <n v="10"/>
    <n v="0.3"/>
    <n v="15"/>
    <x v="0"/>
    <n v="10"/>
    <x v="2"/>
  </r>
  <r>
    <d v="2017-12-13T00:00:00"/>
    <x v="11"/>
    <x v="3"/>
    <n v="32.200000000000003"/>
    <n v="0"/>
    <x v="2"/>
    <n v="26"/>
    <s v="Medium"/>
    <n v="10"/>
    <n v="0.3"/>
    <n v="14"/>
    <x v="0"/>
    <n v="10"/>
    <x v="7"/>
  </r>
  <r>
    <d v="2017-12-14T00:00:00"/>
    <x v="11"/>
    <x v="4"/>
    <n v="31.9"/>
    <n v="0"/>
    <x v="2"/>
    <n v="24"/>
    <s v="Medium"/>
    <n v="10"/>
    <n v="0.3"/>
    <n v="13"/>
    <x v="0"/>
    <n v="10"/>
    <x v="1"/>
  </r>
  <r>
    <d v="2017-12-15T00:00:00"/>
    <x v="11"/>
    <x v="5"/>
    <n v="42.1"/>
    <n v="1.05"/>
    <x v="0"/>
    <n v="30"/>
    <s v="Medium"/>
    <n v="10"/>
    <n v="0.3"/>
    <n v="17"/>
    <x v="0"/>
    <n v="10"/>
    <x v="3"/>
  </r>
  <r>
    <d v="2017-12-16T00:00:00"/>
    <x v="11"/>
    <x v="6"/>
    <n v="35.5"/>
    <n v="1.25"/>
    <x v="0"/>
    <n v="30"/>
    <s v="Medium"/>
    <n v="10"/>
    <n v="0.3"/>
    <n v="15"/>
    <x v="0"/>
    <n v="10"/>
    <x v="2"/>
  </r>
  <r>
    <d v="2017-12-17T00:00:00"/>
    <x v="11"/>
    <x v="0"/>
    <n v="32.200000000000003"/>
    <n v="1.33"/>
    <x v="0"/>
    <n v="16"/>
    <s v="Low"/>
    <n v="5"/>
    <n v="0.3"/>
    <n v="14"/>
    <x v="0"/>
    <n v="5"/>
    <x v="7"/>
  </r>
  <r>
    <d v="2017-12-18T00:00:00"/>
    <x v="11"/>
    <x v="1"/>
    <n v="30.9"/>
    <n v="0"/>
    <x v="2"/>
    <n v="27"/>
    <s v="Medium"/>
    <n v="10"/>
    <n v="0.3"/>
    <n v="13"/>
    <x v="0"/>
    <n v="10"/>
    <x v="1"/>
  </r>
  <r>
    <d v="2017-12-19T00:00:00"/>
    <x v="11"/>
    <x v="2"/>
    <n v="41.4"/>
    <n v="0"/>
    <x v="2"/>
    <n v="33"/>
    <s v="Medium"/>
    <n v="10"/>
    <n v="0.3"/>
    <n v="18"/>
    <x v="0"/>
    <n v="10"/>
    <x v="4"/>
  </r>
  <r>
    <d v="2017-12-20T00:00:00"/>
    <x v="11"/>
    <x v="3"/>
    <n v="36.799999999999997"/>
    <n v="0"/>
    <x v="2"/>
    <n v="20"/>
    <s v="Medium"/>
    <n v="10"/>
    <n v="0.3"/>
    <n v="16"/>
    <x v="0"/>
    <n v="10"/>
    <x v="8"/>
  </r>
  <r>
    <d v="2017-12-21T00:00:00"/>
    <x v="11"/>
    <x v="4"/>
    <n v="40.5"/>
    <n v="0"/>
    <x v="2"/>
    <n v="23"/>
    <s v="Medium"/>
    <n v="10"/>
    <n v="0.3"/>
    <n v="15"/>
    <x v="0"/>
    <n v="10"/>
    <x v="2"/>
  </r>
  <r>
    <d v="2017-12-22T00:00:00"/>
    <x v="11"/>
    <x v="5"/>
    <n v="30.9"/>
    <n v="1.54"/>
    <x v="0"/>
    <n v="17"/>
    <s v="Low"/>
    <n v="5"/>
    <n v="0.3"/>
    <n v="13"/>
    <x v="0"/>
    <n v="5"/>
    <x v="1"/>
  </r>
  <r>
    <d v="2017-12-23T00:00:00"/>
    <x v="11"/>
    <x v="6"/>
    <n v="42.4"/>
    <n v="0"/>
    <x v="2"/>
    <n v="20"/>
    <s v="Medium"/>
    <n v="10"/>
    <n v="0.3"/>
    <n v="18"/>
    <x v="0"/>
    <n v="10"/>
    <x v="4"/>
  </r>
  <r>
    <d v="2017-12-24T00:00:00"/>
    <x v="11"/>
    <x v="0"/>
    <n v="35.799999999999997"/>
    <n v="0"/>
    <x v="2"/>
    <n v="26"/>
    <s v="Medium"/>
    <n v="10"/>
    <n v="0.3"/>
    <n v="16"/>
    <x v="0"/>
    <n v="10"/>
    <x v="8"/>
  </r>
  <r>
    <d v="2017-12-25T00:00:00"/>
    <x v="11"/>
    <x v="1"/>
    <n v="35.5"/>
    <n v="1.25"/>
    <x v="0"/>
    <n v="19"/>
    <s v="Low"/>
    <n v="5"/>
    <n v="0.3"/>
    <n v="15"/>
    <x v="0"/>
    <n v="5"/>
    <x v="2"/>
  </r>
  <r>
    <d v="2017-12-26T00:00:00"/>
    <x v="11"/>
    <x v="2"/>
    <n v="28.9"/>
    <n v="1.43"/>
    <x v="0"/>
    <n v="23"/>
    <s v="Medium"/>
    <n v="10"/>
    <n v="0.3"/>
    <n v="13"/>
    <x v="0"/>
    <n v="10"/>
    <x v="1"/>
  </r>
  <r>
    <d v="2017-12-27T00:00:00"/>
    <x v="11"/>
    <x v="3"/>
    <n v="42.7"/>
    <n v="0"/>
    <x v="2"/>
    <n v="33"/>
    <s v="Medium"/>
    <n v="10"/>
    <n v="0.3"/>
    <n v="19"/>
    <x v="0"/>
    <n v="10"/>
    <x v="12"/>
  </r>
  <r>
    <d v="2017-12-28T00:00:00"/>
    <x v="11"/>
    <x v="4"/>
    <n v="37.799999999999997"/>
    <n v="0"/>
    <x v="2"/>
    <n v="32"/>
    <s v="Medium"/>
    <n v="10"/>
    <n v="0.3"/>
    <n v="16"/>
    <x v="0"/>
    <n v="10"/>
    <x v="8"/>
  </r>
  <r>
    <d v="2017-12-29T00:00:00"/>
    <x v="11"/>
    <x v="5"/>
    <n v="39.5"/>
    <n v="1.25"/>
    <x v="0"/>
    <n v="17"/>
    <s v="Low"/>
    <n v="5"/>
    <n v="0.3"/>
    <n v="15"/>
    <x v="0"/>
    <n v="5"/>
    <x v="2"/>
  </r>
  <r>
    <d v="2017-12-30T00:00:00"/>
    <x v="11"/>
    <x v="6"/>
    <n v="30.9"/>
    <n v="1.43"/>
    <x v="0"/>
    <n v="22"/>
    <s v="Medium"/>
    <n v="10"/>
    <n v="0.3"/>
    <n v="13"/>
    <x v="0"/>
    <n v="10"/>
    <x v="1"/>
  </r>
  <r>
    <d v="2017-12-31T00:00:00"/>
    <x v="11"/>
    <x v="0"/>
    <n v="15.1"/>
    <n v="2.5"/>
    <x v="0"/>
    <n v="9"/>
    <s v="Low"/>
    <n v="5"/>
    <n v="0.3"/>
    <n v="7"/>
    <x v="0"/>
    <n v="5"/>
    <x v="48"/>
  </r>
  <r>
    <d v="2017-09-17T00:00:00"/>
    <x v="8"/>
    <x v="0"/>
    <n v="59.8"/>
    <n v="0.71"/>
    <x v="1"/>
    <n v="53"/>
    <s v="High"/>
    <n v="15"/>
    <n v="0.3"/>
    <n v="26"/>
    <x v="0"/>
    <n v="15"/>
    <x v="16"/>
  </r>
  <r>
    <d v="2017-09-18T00:00:00"/>
    <x v="8"/>
    <x v="1"/>
    <n v="64.8"/>
    <n v="0.71"/>
    <x v="1"/>
    <n v="37"/>
    <s v="Medium"/>
    <n v="10"/>
    <n v="0.3"/>
    <n v="26"/>
    <x v="0"/>
    <n v="10"/>
    <x v="16"/>
  </r>
  <r>
    <d v="2017-09-19T00:00:00"/>
    <x v="8"/>
    <x v="2"/>
    <n v="67.400000000000006"/>
    <n v="0"/>
    <x v="2"/>
    <n v="48"/>
    <s v="High"/>
    <n v="15"/>
    <n v="0.3"/>
    <n v="28"/>
    <x v="0"/>
    <n v="25"/>
    <x v="18"/>
  </r>
  <r>
    <d v="2017-09-20T00:00:00"/>
    <x v="8"/>
    <x v="3"/>
    <n v="67.099999999999994"/>
    <n v="0"/>
    <x v="2"/>
    <n v="52"/>
    <s v="High"/>
    <n v="15"/>
    <n v="0.3"/>
    <n v="27"/>
    <x v="0"/>
    <n v="25"/>
    <x v="17"/>
  </r>
  <r>
    <d v="2017-09-21T00:00:00"/>
    <x v="8"/>
    <x v="4"/>
    <n v="59.8"/>
    <n v="0.71"/>
    <x v="1"/>
    <n v="42"/>
    <s v="High"/>
    <n v="15"/>
    <n v="0.3"/>
    <n v="26"/>
    <x v="0"/>
    <n v="15"/>
    <x v="16"/>
  </r>
  <r>
    <d v="2017-09-22T00:00:00"/>
    <x v="8"/>
    <x v="5"/>
    <n v="64.8"/>
    <n v="0.74"/>
    <x v="1"/>
    <n v="34"/>
    <s v="Medium"/>
    <n v="10"/>
    <n v="0.3"/>
    <n v="26"/>
    <x v="0"/>
    <n v="10"/>
    <x v="16"/>
  </r>
  <r>
    <d v="2017-09-23T00:00:00"/>
    <x v="8"/>
    <x v="6"/>
    <n v="63.4"/>
    <n v="0.71"/>
    <x v="1"/>
    <n v="39"/>
    <s v="Medium"/>
    <n v="10"/>
    <n v="0.3"/>
    <n v="28"/>
    <x v="0"/>
    <n v="20"/>
    <x v="18"/>
  </r>
  <r>
    <d v="2017-09-24T00:00:00"/>
    <x v="8"/>
    <x v="0"/>
    <n v="63.4"/>
    <n v="0.71"/>
    <x v="1"/>
    <n v="43"/>
    <s v="High"/>
    <n v="15"/>
    <n v="0.3"/>
    <n v="28"/>
    <x v="0"/>
    <n v="25"/>
    <x v="18"/>
  </r>
  <r>
    <d v="2017-09-25T00:00:00"/>
    <x v="8"/>
    <x v="1"/>
    <n v="61.1"/>
    <n v="0.71"/>
    <x v="1"/>
    <n v="33"/>
    <s v="Medium"/>
    <n v="10"/>
    <n v="0.3"/>
    <n v="27"/>
    <x v="0"/>
    <n v="20"/>
    <x v="17"/>
  </r>
  <r>
    <d v="2017-09-26T00:00:00"/>
    <x v="8"/>
    <x v="2"/>
    <n v="61.8"/>
    <n v="0.77"/>
    <x v="1"/>
    <n v="51"/>
    <s v="High"/>
    <n v="15"/>
    <n v="0.3"/>
    <n v="26"/>
    <x v="0"/>
    <n v="15"/>
    <x v="16"/>
  </r>
  <r>
    <d v="2017-09-27T00:00:00"/>
    <x v="8"/>
    <x v="3"/>
    <n v="70.7"/>
    <n v="0"/>
    <x v="2"/>
    <n v="51"/>
    <s v="High"/>
    <n v="15"/>
    <n v="0.3"/>
    <n v="29"/>
    <x v="0"/>
    <n v="25"/>
    <x v="19"/>
  </r>
  <r>
    <d v="2017-09-28T00:00:00"/>
    <x v="8"/>
    <x v="4"/>
    <n v="67.400000000000006"/>
    <n v="0"/>
    <x v="2"/>
    <n v="38"/>
    <s v="Medium"/>
    <n v="10"/>
    <n v="0.3"/>
    <n v="28"/>
    <x v="0"/>
    <n v="20"/>
    <x v="18"/>
  </r>
  <r>
    <d v="2017-09-29T00:00:00"/>
    <x v="8"/>
    <x v="5"/>
    <n v="66.099999999999994"/>
    <n v="0.71"/>
    <x v="1"/>
    <n v="48"/>
    <s v="High"/>
    <n v="15"/>
    <n v="0.3"/>
    <n v="27"/>
    <x v="0"/>
    <n v="25"/>
    <x v="17"/>
  </r>
  <r>
    <d v="2017-09-30T00:00:00"/>
    <x v="8"/>
    <x v="6"/>
    <n v="64.8"/>
    <n v="0.74"/>
    <x v="1"/>
    <n v="29"/>
    <s v="Medium"/>
    <n v="10"/>
    <n v="0.3"/>
    <n v="26"/>
    <x v="0"/>
    <n v="10"/>
    <x v="16"/>
  </r>
  <r>
    <d v="2017-10-25T00:00:00"/>
    <x v="9"/>
    <x v="3"/>
    <n v="61.2"/>
    <n v="0"/>
    <x v="2"/>
    <n v="44"/>
    <s v="High"/>
    <n v="15"/>
    <n v="0.3"/>
    <n v="24"/>
    <x v="0"/>
    <n v="15"/>
    <x v="14"/>
  </r>
  <r>
    <d v="2017-10-26T00:00:00"/>
    <x v="9"/>
    <x v="4"/>
    <n v="54.2"/>
    <n v="0.77"/>
    <x v="1"/>
    <n v="47"/>
    <s v="High"/>
    <n v="15"/>
    <n v="0.3"/>
    <n v="24"/>
    <x v="0"/>
    <n v="15"/>
    <x v="14"/>
  </r>
  <r>
    <d v="2017-10-27T00:00:00"/>
    <x v="9"/>
    <x v="5"/>
    <n v="62.8"/>
    <n v="0.71"/>
    <x v="1"/>
    <n v="52"/>
    <s v="High"/>
    <n v="15"/>
    <n v="0.3"/>
    <n v="26"/>
    <x v="0"/>
    <n v="15"/>
    <x v="16"/>
  </r>
  <r>
    <d v="2017-10-28T00:00:00"/>
    <x v="9"/>
    <x v="6"/>
    <n v="57.5"/>
    <n v="0.77"/>
    <x v="1"/>
    <n v="28"/>
    <s v="Medium"/>
    <n v="10"/>
    <n v="0.3"/>
    <n v="25"/>
    <x v="0"/>
    <n v="10"/>
    <x v="15"/>
  </r>
  <r>
    <d v="2017-10-29T00:00:00"/>
    <x v="9"/>
    <x v="0"/>
    <n v="61.5"/>
    <n v="0"/>
    <x v="2"/>
    <n v="34"/>
    <s v="Medium"/>
    <n v="10"/>
    <n v="0.3"/>
    <n v="25"/>
    <x v="0"/>
    <n v="10"/>
    <x v="15"/>
  </r>
  <r>
    <d v="2017-10-30T00:00:00"/>
    <x v="9"/>
    <x v="1"/>
    <n v="58.2"/>
    <n v="0"/>
    <x v="2"/>
    <n v="35"/>
    <s v="Medium"/>
    <n v="10"/>
    <n v="0.3"/>
    <n v="24"/>
    <x v="0"/>
    <n v="10"/>
    <x v="14"/>
  </r>
  <r>
    <d v="2017-10-31T00:00:00"/>
    <x v="9"/>
    <x v="2"/>
    <n v="54.2"/>
    <n v="0"/>
    <x v="2"/>
    <n v="38"/>
    <s v="Medium"/>
    <n v="10"/>
    <n v="0.3"/>
    <n v="24"/>
    <x v="0"/>
    <n v="10"/>
    <x v="14"/>
  </r>
  <r>
    <d v="2017-11-01T00:00:00"/>
    <x v="10"/>
    <x v="3"/>
    <n v="51.9"/>
    <n v="0"/>
    <x v="2"/>
    <n v="43"/>
    <s v="High"/>
    <n v="15"/>
    <n v="0.3"/>
    <n v="23"/>
    <x v="0"/>
    <n v="15"/>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982D2E-9085-495F-A0BF-DCB6C9A07D1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25:E38" firstHeaderRow="0" firstDataRow="1" firstDataCol="1"/>
  <pivotFields count="14">
    <pivotField numFmtId="14" showAll="0"/>
    <pivotField axis="axisRow" multipleItemSelectionAllowe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items count="2">
        <item x="0"/>
        <item t="default"/>
      </items>
    </pivotField>
    <pivotField dataField="1" showAll="0"/>
    <pivotField dataField="1" showAll="0">
      <items count="50">
        <item x="48"/>
        <item x="0"/>
        <item x="5"/>
        <item x="6"/>
        <item x="1"/>
        <item x="7"/>
        <item x="2"/>
        <item x="8"/>
        <item x="3"/>
        <item x="4"/>
        <item x="12"/>
        <item x="9"/>
        <item x="10"/>
        <item x="11"/>
        <item x="13"/>
        <item x="14"/>
        <item x="15"/>
        <item x="16"/>
        <item x="17"/>
        <item x="18"/>
        <item x="19"/>
        <item x="20"/>
        <item x="21"/>
        <item x="25"/>
        <item x="22"/>
        <item x="26"/>
        <item x="23"/>
        <item x="27"/>
        <item x="31"/>
        <item x="24"/>
        <item x="28"/>
        <item x="29"/>
        <item x="30"/>
        <item x="32"/>
        <item x="47"/>
        <item x="46"/>
        <item x="45"/>
        <item x="37"/>
        <item x="39"/>
        <item x="36"/>
        <item x="35"/>
        <item x="42"/>
        <item x="44"/>
        <item x="34"/>
        <item x="38"/>
        <item x="40"/>
        <item x="41"/>
        <item x="43"/>
        <item x="33"/>
        <item t="default"/>
      </items>
    </pivotField>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Revenue per Month" fld="13" baseField="1" baseItem="0"/>
    <dataField name="Sum of Target" fld="11" baseField="0" baseItem="0"/>
    <dataField name="Performance" fld="12" baseField="1" baseItem="0"/>
  </dataFields>
  <conditionalFormats count="2">
    <conditionalFormat priority="2">
      <pivotAreas count="1">
        <pivotArea type="data" collapsedLevelsAreSubtotals="1" fieldPosition="0">
          <references count="2">
            <reference field="4294967294" count="1" selected="0">
              <x v="2"/>
            </reference>
            <reference field="1" count="12">
              <x v="0"/>
              <x v="1"/>
              <x v="2"/>
              <x v="3"/>
              <x v="4"/>
              <x v="5"/>
              <x v="6"/>
              <x v="7"/>
              <x v="8"/>
              <x v="9"/>
              <x v="10"/>
              <x v="11"/>
            </reference>
          </references>
        </pivotArea>
      </pivotAreas>
    </conditionalFormat>
    <conditionalFormat priority="4">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AD8B8-1751-4132-9555-F8AC0153A68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K7:M20" firstHeaderRow="0" firstDataRow="1" firstDataCol="1"/>
  <pivotFields count="14">
    <pivotField numFmtId="14" showAll="0"/>
    <pivotField axis="axisRow" multipleItemSelectionAllowe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dataField="1" showAll="0">
      <items count="50">
        <item x="48"/>
        <item x="0"/>
        <item x="5"/>
        <item x="6"/>
        <item x="1"/>
        <item x="7"/>
        <item x="2"/>
        <item x="8"/>
        <item x="3"/>
        <item x="4"/>
        <item x="12"/>
        <item x="9"/>
        <item x="10"/>
        <item x="11"/>
        <item x="13"/>
        <item x="14"/>
        <item x="15"/>
        <item x="16"/>
        <item x="17"/>
        <item x="18"/>
        <item x="19"/>
        <item x="20"/>
        <item x="21"/>
        <item x="25"/>
        <item x="22"/>
        <item x="26"/>
        <item x="23"/>
        <item x="27"/>
        <item x="31"/>
        <item x="24"/>
        <item x="28"/>
        <item x="29"/>
        <item x="30"/>
        <item x="32"/>
        <item x="47"/>
        <item x="46"/>
        <item x="45"/>
        <item x="37"/>
        <item x="39"/>
        <item x="36"/>
        <item x="35"/>
        <item x="42"/>
        <item x="44"/>
        <item x="34"/>
        <item x="38"/>
        <item x="40"/>
        <item x="41"/>
        <item x="43"/>
        <item x="33"/>
        <item t="default"/>
      </items>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Revenue per Month" fld="13" baseField="1" baseItem="0"/>
    <dataField name="Target per Month" fld="11" baseField="1" baseItem="0"/>
  </dataFields>
  <conditionalFormats count="1">
    <conditionalFormat priority="5">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36A0A-FF12-47CA-A8D7-8B6817CBE54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onth">
  <location ref="B56:C63" firstHeaderRow="1" firstDataRow="1" firstDataCol="1" rowPageCount="1" colPageCount="1"/>
  <pivotFields count="14">
    <pivotField numFmtId="14" showAll="0"/>
    <pivotField axis="axisRow" multipleItemSelectionAllowed="1" showAll="0">
      <items count="13">
        <item x="0"/>
        <item x="1"/>
        <item x="2"/>
        <item x="3"/>
        <item x="4"/>
        <item x="5"/>
        <item x="6"/>
        <item x="7"/>
        <item x="8"/>
        <item x="9"/>
        <item x="10"/>
        <item x="11"/>
        <item t="default"/>
      </items>
    </pivotField>
    <pivotField showAll="0">
      <items count="8">
        <item x="0"/>
        <item x="1"/>
        <item x="2"/>
        <item x="3"/>
        <item x="4"/>
        <item x="5"/>
        <item x="6"/>
        <item t="default"/>
      </items>
    </pivotField>
    <pivotField showAll="0"/>
    <pivotField showAll="0"/>
    <pivotField axis="axisPage" showAll="0">
      <items count="4">
        <item x="0"/>
        <item x="1"/>
        <item x="2"/>
        <item t="default"/>
      </items>
    </pivotField>
    <pivotField showAll="0"/>
    <pivotField showAll="0"/>
    <pivotField showAll="0"/>
    <pivotField showAll="0"/>
    <pivotField showAll="0"/>
    <pivotField showAll="0">
      <items count="2">
        <item x="0"/>
        <item t="default"/>
      </items>
    </pivotField>
    <pivotField showAll="0"/>
    <pivotField dataField="1" showAll="0">
      <items count="50">
        <item x="48"/>
        <item x="0"/>
        <item x="5"/>
        <item x="6"/>
        <item x="1"/>
        <item x="7"/>
        <item x="2"/>
        <item x="8"/>
        <item x="3"/>
        <item x="4"/>
        <item x="12"/>
        <item x="9"/>
        <item x="10"/>
        <item x="11"/>
        <item x="13"/>
        <item x="14"/>
        <item x="15"/>
        <item x="16"/>
        <item x="17"/>
        <item x="18"/>
        <item x="19"/>
        <item x="20"/>
        <item x="21"/>
        <item x="25"/>
        <item x="22"/>
        <item x="26"/>
        <item x="23"/>
        <item x="27"/>
        <item x="31"/>
        <item x="24"/>
        <item x="28"/>
        <item x="29"/>
        <item x="30"/>
        <item x="32"/>
        <item x="47"/>
        <item x="46"/>
        <item x="45"/>
        <item x="37"/>
        <item x="39"/>
        <item x="36"/>
        <item x="35"/>
        <item x="42"/>
        <item x="44"/>
        <item x="34"/>
        <item x="38"/>
        <item x="40"/>
        <item x="41"/>
        <item x="43"/>
        <item x="33"/>
        <item t="default"/>
      </items>
    </pivotField>
  </pivotFields>
  <rowFields count="1">
    <field x="1"/>
  </rowFields>
  <rowItems count="7">
    <i>
      <x/>
    </i>
    <i>
      <x v="1"/>
    </i>
    <i>
      <x v="4"/>
    </i>
    <i>
      <x v="7"/>
    </i>
    <i>
      <x v="10"/>
    </i>
    <i>
      <x v="11"/>
    </i>
    <i t="grand">
      <x/>
    </i>
  </rowItems>
  <colItems count="1">
    <i/>
  </colItems>
  <pageFields count="1">
    <pageField fld="5" item="0" hier="-1"/>
  </pageField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869511-4824-4E74-B3EE-BC77416DB16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onth">
  <location ref="E41:F50" firstHeaderRow="1" firstDataRow="1" firstDataCol="1"/>
  <pivotFields count="14">
    <pivotField numFmtId="14" showAll="0"/>
    <pivotField axis="axisRow" multipleItemSelectionAllowed="1" showAll="0">
      <items count="13">
        <item h="1" x="0"/>
        <item h="1" x="1"/>
        <item h="1" x="2"/>
        <item h="1" x="3"/>
        <item h="1" x="4"/>
        <item h="1" x="5"/>
        <item h="1" x="6"/>
        <item h="1" x="7"/>
        <item h="1" x="8"/>
        <item h="1" x="9"/>
        <item h="1" x="10"/>
        <item x="11"/>
        <item t="default"/>
      </items>
    </pivotField>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items count="2">
        <item x="0"/>
        <item t="default"/>
      </items>
    </pivotField>
    <pivotField showAll="0"/>
    <pivotField dataField="1" showAll="0">
      <items count="50">
        <item x="48"/>
        <item x="0"/>
        <item x="5"/>
        <item x="6"/>
        <item x="1"/>
        <item x="7"/>
        <item x="2"/>
        <item x="8"/>
        <item x="3"/>
        <item x="4"/>
        <item x="12"/>
        <item x="9"/>
        <item x="10"/>
        <item x="11"/>
        <item x="13"/>
        <item x="14"/>
        <item x="15"/>
        <item x="16"/>
        <item x="17"/>
        <item x="18"/>
        <item x="19"/>
        <item x="20"/>
        <item x="21"/>
        <item x="25"/>
        <item x="22"/>
        <item x="26"/>
        <item x="23"/>
        <item x="27"/>
        <item x="31"/>
        <item x="24"/>
        <item x="28"/>
        <item x="29"/>
        <item x="30"/>
        <item x="32"/>
        <item x="47"/>
        <item x="46"/>
        <item x="45"/>
        <item x="37"/>
        <item x="39"/>
        <item x="36"/>
        <item x="35"/>
        <item x="42"/>
        <item x="44"/>
        <item x="34"/>
        <item x="38"/>
        <item x="40"/>
        <item x="41"/>
        <item x="43"/>
        <item x="33"/>
        <item t="default"/>
      </items>
    </pivotField>
  </pivotFields>
  <rowFields count="2">
    <field x="1"/>
    <field x="2"/>
  </rowFields>
  <rowItems count="9">
    <i>
      <x v="11"/>
    </i>
    <i r="1">
      <x/>
    </i>
    <i r="1">
      <x v="1"/>
    </i>
    <i r="1">
      <x v="2"/>
    </i>
    <i r="1">
      <x v="3"/>
    </i>
    <i r="1">
      <x v="4"/>
    </i>
    <i r="1">
      <x v="5"/>
    </i>
    <i r="1">
      <x v="6"/>
    </i>
    <i t="grand">
      <x/>
    </i>
  </rowItems>
  <colItems count="1">
    <i/>
  </colItems>
  <dataFields count="1">
    <dataField name="Min of Revenue" fld="13" subtotal="min"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58AE50-D15B-462B-AAFA-FAE8B821BFF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Month">
  <location ref="B41:C50" firstHeaderRow="1" firstDataRow="1" firstDataCol="1"/>
  <pivotFields count="14">
    <pivotField numFmtId="14" showAll="0"/>
    <pivotField axis="axisRow" multipleItemSelectionAllowed="1" showAll="0">
      <items count="13">
        <item h="1" x="0"/>
        <item h="1" x="1"/>
        <item h="1" x="2"/>
        <item h="1" x="3"/>
        <item h="1" x="4"/>
        <item h="1" x="5"/>
        <item x="6"/>
        <item h="1" x="7"/>
        <item h="1" x="8"/>
        <item h="1" x="9"/>
        <item h="1" x="10"/>
        <item h="1" x="11"/>
        <item t="default"/>
      </items>
    </pivotField>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items count="2">
        <item x="0"/>
        <item t="default"/>
      </items>
    </pivotField>
    <pivotField showAll="0"/>
    <pivotField dataField="1" showAll="0">
      <items count="50">
        <item x="48"/>
        <item x="0"/>
        <item x="5"/>
        <item x="6"/>
        <item x="1"/>
        <item x="7"/>
        <item x="2"/>
        <item x="8"/>
        <item x="3"/>
        <item x="4"/>
        <item x="12"/>
        <item x="9"/>
        <item x="10"/>
        <item x="11"/>
        <item x="13"/>
        <item x="14"/>
        <item x="15"/>
        <item x="16"/>
        <item x="17"/>
        <item x="18"/>
        <item x="19"/>
        <item x="20"/>
        <item x="21"/>
        <item x="25"/>
        <item x="22"/>
        <item x="26"/>
        <item x="23"/>
        <item x="27"/>
        <item x="31"/>
        <item x="24"/>
        <item x="28"/>
        <item x="29"/>
        <item x="30"/>
        <item x="32"/>
        <item x="47"/>
        <item x="46"/>
        <item x="45"/>
        <item x="37"/>
        <item x="39"/>
        <item x="36"/>
        <item x="35"/>
        <item x="42"/>
        <item x="44"/>
        <item x="34"/>
        <item x="38"/>
        <item x="40"/>
        <item x="41"/>
        <item x="43"/>
        <item x="33"/>
        <item t="default"/>
      </items>
    </pivotField>
  </pivotFields>
  <rowFields count="2">
    <field x="1"/>
    <field x="2"/>
  </rowFields>
  <rowItems count="9">
    <i>
      <x v="6"/>
    </i>
    <i r="1">
      <x/>
    </i>
    <i r="1">
      <x v="1"/>
    </i>
    <i r="1">
      <x v="2"/>
    </i>
    <i r="1">
      <x v="3"/>
    </i>
    <i r="1">
      <x v="4"/>
    </i>
    <i r="1">
      <x v="5"/>
    </i>
    <i r="1">
      <x v="6"/>
    </i>
    <i t="grand">
      <x/>
    </i>
  </rowItems>
  <colItems count="1">
    <i/>
  </colItems>
  <dataFields count="1">
    <dataField name="Max of Revenue" fld="13"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11D809-0010-4023-924C-1F8F3EDE4C08}" autoFormatId="16" applyNumberFormats="0" applyBorderFormats="0" applyFontFormats="0" applyPatternFormats="0" applyAlignmentFormats="0" applyWidthHeightFormats="0">
  <queryTableRefresh nextId="20">
    <queryTableFields count="14">
      <queryTableField id="1" name="Date" tableColumnId="1"/>
      <queryTableField id="2" name="Month" tableColumnId="2"/>
      <queryTableField id="3" name="Day" tableColumnId="3"/>
      <queryTableField id="4" name="Temperature" tableColumnId="4"/>
      <queryTableField id="5" name="Rainfall" tableColumnId="5"/>
      <queryTableField id="6" name="RainfallCategory" tableColumnId="6"/>
      <queryTableField id="7" name="Flyers" tableColumnId="7"/>
      <queryTableField id="8" name="FlyerSuccess" tableColumnId="8"/>
      <queryTableField id="9" name="FlyerSuccessScore" tableColumnId="9"/>
      <queryTableField id="10" name="Price" tableColumnId="10"/>
      <queryTableField id="11" name="Sales" tableColumnId="11"/>
      <queryTableField id="12" name="Target" tableColumnId="12"/>
      <queryTableField id="14" name="OverallPerformance" tableColumnId="14"/>
      <queryTableField id="15" name="Revenue" tableColumnId="15"/>
    </queryTableFields>
    <queryTableDeletedFields count="5">
      <deletedField name="MadeQuota"/>
      <deletedField name="Column1"/>
      <deletedField name="_1"/>
      <deletedField name="_2"/>
      <deletedField name="_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infall" xr10:uid="{B53DA595-B7B6-465F-BB57-12D0CB4BDF3E}" sourceName="Rainfall">
  <extLst>
    <x:ext xmlns:x15="http://schemas.microsoft.com/office/spreadsheetml/2010/11/main" uri="{2F2917AC-EB37-4324-AD4E-5DD8C200BD13}">
      <x15:tableSlicerCache tableId="4"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B0F729B8-9D10-4566-B6A4-9D53455C1302}" sourceName="Price">
  <extLst>
    <x:ext xmlns:x15="http://schemas.microsoft.com/office/spreadsheetml/2010/11/main" uri="{2F2917AC-EB37-4324-AD4E-5DD8C200BD13}">
      <x15:tableSlicerCache tableId="4"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infall" xr10:uid="{76F5E139-39C6-4A0F-B353-68AD75D9D768}" cache="Slicer_Rainfall" caption="Rainfall" rowHeight="241300"/>
  <slicer name="Price" xr10:uid="{66A48B72-E9CD-4AD7-B788-798985FF7D09}" cache="Slicer_Price" caption="Pric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A6297F-89A0-4290-98D5-CD60AD0FAE58}" name="data" displayName="data" ref="A1:N388" tableType="queryTable" totalsRowShown="0">
  <autoFilter ref="A1:N388" xr:uid="{79A6297F-89A0-4290-98D5-CD60AD0FAE58}"/>
  <tableColumns count="14">
    <tableColumn id="1" xr3:uid="{3AC5207E-CE28-45BA-8617-16170205942C}" uniqueName="1" name="Date" queryTableFieldId="1" dataDxfId="12"/>
    <tableColumn id="2" xr3:uid="{685D7B92-35DD-4FC0-924A-0B4A65F24F70}" uniqueName="2" name="Month" queryTableFieldId="2" dataDxfId="11"/>
    <tableColumn id="3" xr3:uid="{1984C436-2C89-40FD-A5AF-8E1C5A9ECDCD}" uniqueName="3" name="Day" queryTableFieldId="3" dataDxfId="10"/>
    <tableColumn id="4" xr3:uid="{76192895-C6C7-4F40-8AD9-9408F249835F}" uniqueName="4" name="Temperature" queryTableFieldId="4"/>
    <tableColumn id="5" xr3:uid="{BFF96C91-BAE1-463A-81D3-4124CB0AC193}" uniqueName="5" name="Rainfall" queryTableFieldId="5"/>
    <tableColumn id="6" xr3:uid="{5C0CDD2E-A7D0-47A2-805E-E46ACA604832}" uniqueName="6" name="RainfallCategory" queryTableFieldId="6" dataDxfId="9"/>
    <tableColumn id="7" xr3:uid="{470C53F5-4BFF-4483-B63F-DCAF9E3D9889}" uniqueName="7" name="Flyers" queryTableFieldId="7"/>
    <tableColumn id="8" xr3:uid="{F7E89993-9A1E-4B25-9E98-E7F802218389}" uniqueName="8" name="FlyerSuccess" queryTableFieldId="8" dataDxfId="8"/>
    <tableColumn id="9" xr3:uid="{F76AE113-3464-484E-94D4-39613746B36B}" uniqueName="9" name="FlyerSuccessScore" queryTableFieldId="9"/>
    <tableColumn id="10" xr3:uid="{2E841E7A-468A-4032-97E2-EB5CE7F1740E}" uniqueName="10" name="Price" queryTableFieldId="10"/>
    <tableColumn id="11" xr3:uid="{D1CFCAFF-9950-4C1B-8F81-8DB5D9D85204}" uniqueName="11" name="Sales" queryTableFieldId="11"/>
    <tableColumn id="12" xr3:uid="{D4819ACC-B783-4C7F-B581-10720721A7AD}" uniqueName="12" name="Target" queryTableFieldId="12"/>
    <tableColumn id="14" xr3:uid="{C3131AEA-6355-4803-B86E-8A32871B8BEC}" uniqueName="14" name="OverallPerformance" queryTableFieldId="14"/>
    <tableColumn id="15" xr3:uid="{CAF1D6CE-156D-4DE3-B033-BF556B3AD80E}" uniqueName="15" name="Revenu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2E2587-BF4A-4C31-8B07-8310145B4E75}" name="Table3" displayName="Table3" ref="H2:J22" totalsRowShown="0">
  <autoFilter ref="H2:J22" xr:uid="{342E2587-BF4A-4C31-8B07-8310145B4E75}"/>
  <tableColumns count="3">
    <tableColumn id="1" xr3:uid="{B807C61A-4E25-46E8-ABA8-3EBBB5212F4D}" name="Column1"/>
    <tableColumn id="2" xr3:uid="{FDF0EE41-7DC2-400C-9869-CF6B1EC29EF5}" name="Column2"/>
    <tableColumn id="3" xr3:uid="{DC435E42-7C1E-4B59-92BB-46E1D7FDDDBA}" name="Column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C845C8-2C13-449F-B754-EB74C8E0753B}" name="Table6" displayName="Table6" ref="A1:F59" totalsRowShown="0" dataDxfId="7">
  <autoFilter ref="A1:F59" xr:uid="{39C845C8-2C13-449F-B754-EB74C8E0753B}"/>
  <tableColumns count="6">
    <tableColumn id="1" xr3:uid="{A8306775-89B6-472D-A33D-D53B9F3003A8}" name="Data 1" dataDxfId="6"/>
    <tableColumn id="2" xr3:uid="{67F62787-5D3D-426D-9A18-DB3DCD314E1D}" name="Column1" dataDxfId="5"/>
    <tableColumn id="3" xr3:uid="{E52A79FA-2EDA-412D-A8F0-AFA3F73E6771}" name="Column2" dataDxfId="4"/>
    <tableColumn id="4" xr3:uid="{69A8AC12-774D-4C8A-B8CE-59182A3BD373}" name="Column3" dataDxfId="3"/>
    <tableColumn id="5" xr3:uid="{B8AB9B93-5039-401D-8E3F-C9739A28D7F1}" name="Column4" dataDxfId="2">
      <calculatedColumnFormula>'Q4'!$D2-'Q4'!$C2</calculatedColumnFormula>
    </tableColumn>
    <tableColumn id="6" xr3:uid="{DECC5BF5-51D6-4605-AE0D-98D310BAF1F4}" name="Column5" dataDxfId="1">
      <calculatedColumnFormula>E2*24*15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2412F1-841B-4F02-9E2A-1C670CE07DCC}" name="Table5" displayName="Table5" ref="A1:N32" totalsRowShown="0">
  <autoFilter ref="A1:N32" xr:uid="{A12412F1-841B-4F02-9E2A-1C670CE07DCC}"/>
  <tableColumns count="14">
    <tableColumn id="1" xr3:uid="{B8B88BE9-2D19-40B0-A12A-3770A5BB072A}" name="Date" dataDxfId="0"/>
    <tableColumn id="2" xr3:uid="{CFBA0479-80C8-4A5F-A190-8C6F730C15CE}" name="Month"/>
    <tableColumn id="3" xr3:uid="{49E4080F-04EC-40D4-B2C0-B5DCFBEE77D1}" name="Day"/>
    <tableColumn id="4" xr3:uid="{0DE724F8-9947-49AF-BC42-1E156262DD48}" name="Temperature"/>
    <tableColumn id="5" xr3:uid="{AB093F24-8F2B-40F1-A7AD-55F2573A7E16}" name="Rainfall"/>
    <tableColumn id="6" xr3:uid="{D64F61B8-4559-4C02-B6A3-5E9F09291EBE}" name="RainfallCategory"/>
    <tableColumn id="7" xr3:uid="{0065A2F5-0ACE-412D-857C-A530758D096E}" name="Flyers"/>
    <tableColumn id="8" xr3:uid="{F5BD1274-BAFF-4DDF-AFBA-203611262323}" name="FlyerSuccess"/>
    <tableColumn id="9" xr3:uid="{559762A5-BECC-48EA-ACE3-2C7A9B0707D7}" name="FlyerSuccessScore"/>
    <tableColumn id="10" xr3:uid="{79518A63-9775-4907-817C-E97AB8AFD674}" name="Price"/>
    <tableColumn id="11" xr3:uid="{71BAF73D-231E-4116-BB97-D9BFE2B9B9A8}" name="Sales"/>
    <tableColumn id="12" xr3:uid="{C1BA25FC-71EA-4CB7-8735-90FEFC62599D}" name="Target"/>
    <tableColumn id="13" xr3:uid="{7D94A73F-D8DB-41AE-BD84-796C564499F2}" name="OverallPerformance"/>
    <tableColumn id="14" xr3:uid="{379E53FD-DC61-4ABB-A9E9-1A70CDBBDE76}"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A5AE-3758-4D02-9B7F-5F706A045E56}">
  <dimension ref="A1:N388"/>
  <sheetViews>
    <sheetView topLeftCell="A67" workbookViewId="0">
      <selection activeCell="F14" sqref="F13:F14"/>
    </sheetView>
  </sheetViews>
  <sheetFormatPr defaultRowHeight="15" x14ac:dyDescent="0.25"/>
  <cols>
    <col min="1" max="1" width="8.7109375" bestFit="1" customWidth="1"/>
    <col min="2" max="2" width="9.28515625" bestFit="1" customWidth="1"/>
    <col min="3" max="3" width="11.42578125" bestFit="1" customWidth="1"/>
    <col min="4" max="4" width="14.85546875" bestFit="1" customWidth="1"/>
    <col min="5" max="5" width="10" bestFit="1" customWidth="1"/>
    <col min="6" max="6" width="18" bestFit="1" customWidth="1"/>
    <col min="7" max="7" width="8.5703125" bestFit="1" customWidth="1"/>
    <col min="8" max="8" width="14.42578125" bestFit="1" customWidth="1"/>
    <col min="9" max="9" width="19.5703125" bestFit="1" customWidth="1"/>
    <col min="10" max="10" width="7.7109375" bestFit="1" customWidth="1"/>
    <col min="11" max="11" width="7.85546875" bestFit="1" customWidth="1"/>
    <col min="12" max="12" width="8.85546875" bestFit="1" customWidth="1"/>
    <col min="13" max="13" width="21.42578125" bestFit="1" customWidth="1"/>
    <col min="14" max="14" width="11.140625" bestFit="1" customWidth="1"/>
  </cols>
  <sheetData>
    <row r="1" spans="1:14" x14ac:dyDescent="0.25">
      <c r="A1" t="s">
        <v>0</v>
      </c>
      <c r="B1" t="s">
        <v>125</v>
      </c>
      <c r="C1" t="s">
        <v>126</v>
      </c>
      <c r="D1" t="s">
        <v>127</v>
      </c>
      <c r="E1" t="s">
        <v>128</v>
      </c>
      <c r="F1" t="s">
        <v>129</v>
      </c>
      <c r="G1" t="s">
        <v>130</v>
      </c>
      <c r="H1" t="s">
        <v>131</v>
      </c>
      <c r="I1" t="s">
        <v>132</v>
      </c>
      <c r="J1" t="s">
        <v>133</v>
      </c>
      <c r="K1" t="s">
        <v>134</v>
      </c>
      <c r="L1" t="s">
        <v>135</v>
      </c>
      <c r="M1" t="s">
        <v>136</v>
      </c>
      <c r="N1" t="s">
        <v>1</v>
      </c>
    </row>
    <row r="2" spans="1:14" x14ac:dyDescent="0.25">
      <c r="A2" s="52">
        <v>42736</v>
      </c>
      <c r="B2" s="53" t="s">
        <v>2</v>
      </c>
      <c r="C2" s="53" t="s">
        <v>137</v>
      </c>
      <c r="D2">
        <v>27</v>
      </c>
      <c r="E2">
        <v>2</v>
      </c>
      <c r="F2" s="53" t="s">
        <v>138</v>
      </c>
      <c r="G2">
        <v>15</v>
      </c>
      <c r="H2" s="53" t="s">
        <v>139</v>
      </c>
      <c r="I2">
        <v>5</v>
      </c>
      <c r="J2">
        <v>0.3</v>
      </c>
      <c r="K2">
        <v>10</v>
      </c>
      <c r="L2">
        <v>8</v>
      </c>
      <c r="M2">
        <v>5</v>
      </c>
      <c r="N2">
        <v>3</v>
      </c>
    </row>
    <row r="3" spans="1:14" x14ac:dyDescent="0.25">
      <c r="A3" s="52">
        <v>42737</v>
      </c>
      <c r="B3" s="53" t="s">
        <v>2</v>
      </c>
      <c r="C3" s="53" t="s">
        <v>140</v>
      </c>
      <c r="D3">
        <v>28.9</v>
      </c>
      <c r="E3">
        <v>1.33</v>
      </c>
      <c r="F3" s="53" t="s">
        <v>138</v>
      </c>
      <c r="G3">
        <v>15</v>
      </c>
      <c r="H3" s="53" t="s">
        <v>139</v>
      </c>
      <c r="I3">
        <v>5</v>
      </c>
      <c r="J3">
        <v>0.3</v>
      </c>
      <c r="K3">
        <v>13</v>
      </c>
      <c r="L3">
        <v>8</v>
      </c>
      <c r="M3">
        <v>5</v>
      </c>
      <c r="N3">
        <v>3.9</v>
      </c>
    </row>
    <row r="4" spans="1:14" x14ac:dyDescent="0.25">
      <c r="A4" s="52">
        <v>42738</v>
      </c>
      <c r="B4" s="53" t="s">
        <v>2</v>
      </c>
      <c r="C4" s="53" t="s">
        <v>141</v>
      </c>
      <c r="D4">
        <v>34.5</v>
      </c>
      <c r="E4">
        <v>1.33</v>
      </c>
      <c r="F4" s="53" t="s">
        <v>138</v>
      </c>
      <c r="G4">
        <v>27</v>
      </c>
      <c r="H4" s="53" t="s">
        <v>142</v>
      </c>
      <c r="I4">
        <v>10</v>
      </c>
      <c r="J4">
        <v>0.3</v>
      </c>
      <c r="K4">
        <v>15</v>
      </c>
      <c r="L4">
        <v>8</v>
      </c>
      <c r="M4">
        <v>10</v>
      </c>
      <c r="N4">
        <v>4.5</v>
      </c>
    </row>
    <row r="5" spans="1:14" x14ac:dyDescent="0.25">
      <c r="A5" s="52">
        <v>42739</v>
      </c>
      <c r="B5" s="53" t="s">
        <v>2</v>
      </c>
      <c r="C5" s="53" t="s">
        <v>143</v>
      </c>
      <c r="D5">
        <v>44.1</v>
      </c>
      <c r="E5">
        <v>1.05</v>
      </c>
      <c r="F5" s="53" t="s">
        <v>138</v>
      </c>
      <c r="G5">
        <v>28</v>
      </c>
      <c r="H5" s="53" t="s">
        <v>142</v>
      </c>
      <c r="I5">
        <v>10</v>
      </c>
      <c r="J5">
        <v>0.3</v>
      </c>
      <c r="K5">
        <v>17</v>
      </c>
      <c r="L5">
        <v>8</v>
      </c>
      <c r="M5">
        <v>10</v>
      </c>
      <c r="N5">
        <v>5.0999999999999996</v>
      </c>
    </row>
    <row r="6" spans="1:14" x14ac:dyDescent="0.25">
      <c r="A6" s="52">
        <v>42740</v>
      </c>
      <c r="B6" s="53" t="s">
        <v>2</v>
      </c>
      <c r="C6" s="53" t="s">
        <v>144</v>
      </c>
      <c r="D6">
        <v>42.4</v>
      </c>
      <c r="E6">
        <v>1</v>
      </c>
      <c r="F6" s="53" t="s">
        <v>142</v>
      </c>
      <c r="G6">
        <v>33</v>
      </c>
      <c r="H6" s="53" t="s">
        <v>142</v>
      </c>
      <c r="I6">
        <v>10</v>
      </c>
      <c r="J6">
        <v>0.3</v>
      </c>
      <c r="K6">
        <v>18</v>
      </c>
      <c r="L6">
        <v>8</v>
      </c>
      <c r="M6">
        <v>10</v>
      </c>
      <c r="N6">
        <v>5.4</v>
      </c>
    </row>
    <row r="7" spans="1:14" x14ac:dyDescent="0.25">
      <c r="A7" s="52">
        <v>42741</v>
      </c>
      <c r="B7" s="53" t="s">
        <v>2</v>
      </c>
      <c r="C7" s="53" t="s">
        <v>145</v>
      </c>
      <c r="D7">
        <v>25.3</v>
      </c>
      <c r="E7">
        <v>1.54</v>
      </c>
      <c r="F7" s="53" t="s">
        <v>138</v>
      </c>
      <c r="G7">
        <v>23</v>
      </c>
      <c r="H7" s="53" t="s">
        <v>142</v>
      </c>
      <c r="I7">
        <v>10</v>
      </c>
      <c r="J7">
        <v>0.3</v>
      </c>
      <c r="K7">
        <v>11</v>
      </c>
      <c r="L7">
        <v>8</v>
      </c>
      <c r="M7">
        <v>10</v>
      </c>
      <c r="N7">
        <v>3.3</v>
      </c>
    </row>
    <row r="8" spans="1:14" x14ac:dyDescent="0.25">
      <c r="A8" s="52">
        <v>42742</v>
      </c>
      <c r="B8" s="53" t="s">
        <v>2</v>
      </c>
      <c r="C8" s="53" t="s">
        <v>146</v>
      </c>
      <c r="D8">
        <v>32.9</v>
      </c>
      <c r="E8">
        <v>0</v>
      </c>
      <c r="F8" s="53" t="s">
        <v>147</v>
      </c>
      <c r="G8">
        <v>19</v>
      </c>
      <c r="H8" s="53" t="s">
        <v>139</v>
      </c>
      <c r="I8">
        <v>5</v>
      </c>
      <c r="J8">
        <v>0.3</v>
      </c>
      <c r="K8">
        <v>13</v>
      </c>
      <c r="L8">
        <v>8</v>
      </c>
      <c r="M8">
        <v>5</v>
      </c>
      <c r="N8">
        <v>3.9</v>
      </c>
    </row>
    <row r="9" spans="1:14" x14ac:dyDescent="0.25">
      <c r="A9" s="52">
        <v>42743</v>
      </c>
      <c r="B9" s="53" t="s">
        <v>2</v>
      </c>
      <c r="C9" s="53" t="s">
        <v>137</v>
      </c>
      <c r="D9">
        <v>37.5</v>
      </c>
      <c r="E9">
        <v>1.18</v>
      </c>
      <c r="F9" s="53" t="s">
        <v>138</v>
      </c>
      <c r="G9">
        <v>28</v>
      </c>
      <c r="H9" s="53" t="s">
        <v>142</v>
      </c>
      <c r="I9">
        <v>10</v>
      </c>
      <c r="J9">
        <v>0.3</v>
      </c>
      <c r="K9">
        <v>15</v>
      </c>
      <c r="L9">
        <v>8</v>
      </c>
      <c r="M9">
        <v>10</v>
      </c>
      <c r="N9">
        <v>4.5</v>
      </c>
    </row>
    <row r="10" spans="1:14" x14ac:dyDescent="0.25">
      <c r="A10" s="52">
        <v>42744</v>
      </c>
      <c r="B10" s="53" t="s">
        <v>2</v>
      </c>
      <c r="C10" s="53" t="s">
        <v>140</v>
      </c>
      <c r="D10">
        <v>38.1</v>
      </c>
      <c r="E10">
        <v>1.18</v>
      </c>
      <c r="F10" s="53" t="s">
        <v>138</v>
      </c>
      <c r="G10">
        <v>20</v>
      </c>
      <c r="H10" s="53" t="s">
        <v>142</v>
      </c>
      <c r="I10">
        <v>10</v>
      </c>
      <c r="J10">
        <v>0.3</v>
      </c>
      <c r="K10">
        <v>17</v>
      </c>
      <c r="L10">
        <v>8</v>
      </c>
      <c r="M10">
        <v>10</v>
      </c>
      <c r="N10">
        <v>5.0999999999999996</v>
      </c>
    </row>
    <row r="11" spans="1:14" x14ac:dyDescent="0.25">
      <c r="A11" s="52">
        <v>42745</v>
      </c>
      <c r="B11" s="53" t="s">
        <v>2</v>
      </c>
      <c r="C11" s="53" t="s">
        <v>141</v>
      </c>
      <c r="D11">
        <v>43.4</v>
      </c>
      <c r="E11">
        <v>1.05</v>
      </c>
      <c r="F11" s="53" t="s">
        <v>138</v>
      </c>
      <c r="G11">
        <v>33</v>
      </c>
      <c r="H11" s="53" t="s">
        <v>142</v>
      </c>
      <c r="I11">
        <v>10</v>
      </c>
      <c r="J11">
        <v>0.3</v>
      </c>
      <c r="K11">
        <v>18</v>
      </c>
      <c r="L11">
        <v>8</v>
      </c>
      <c r="M11">
        <v>10</v>
      </c>
      <c r="N11">
        <v>5.4</v>
      </c>
    </row>
    <row r="12" spans="1:14" x14ac:dyDescent="0.25">
      <c r="A12" s="52">
        <v>42746</v>
      </c>
      <c r="B12" s="53" t="s">
        <v>2</v>
      </c>
      <c r="C12" s="53" t="s">
        <v>143</v>
      </c>
      <c r="D12">
        <v>32.6</v>
      </c>
      <c r="E12">
        <v>1.54</v>
      </c>
      <c r="F12" s="53" t="s">
        <v>138</v>
      </c>
      <c r="G12">
        <v>23</v>
      </c>
      <c r="H12" s="53" t="s">
        <v>142</v>
      </c>
      <c r="I12">
        <v>10</v>
      </c>
      <c r="J12">
        <v>0.3</v>
      </c>
      <c r="K12">
        <v>12</v>
      </c>
      <c r="L12">
        <v>8</v>
      </c>
      <c r="M12">
        <v>10</v>
      </c>
      <c r="N12">
        <v>3.6</v>
      </c>
    </row>
    <row r="13" spans="1:14" x14ac:dyDescent="0.25">
      <c r="A13" s="52">
        <v>42747</v>
      </c>
      <c r="B13" s="53" t="s">
        <v>2</v>
      </c>
      <c r="C13" s="53" t="s">
        <v>144</v>
      </c>
      <c r="D13">
        <v>38.200000000000003</v>
      </c>
      <c r="E13">
        <v>0</v>
      </c>
      <c r="F13" s="53" t="s">
        <v>147</v>
      </c>
      <c r="G13">
        <v>16</v>
      </c>
      <c r="H13" s="53" t="s">
        <v>139</v>
      </c>
      <c r="I13">
        <v>5</v>
      </c>
      <c r="J13">
        <v>0.3</v>
      </c>
      <c r="K13">
        <v>14</v>
      </c>
      <c r="L13">
        <v>8</v>
      </c>
      <c r="M13">
        <v>5</v>
      </c>
      <c r="N13">
        <v>4.2</v>
      </c>
    </row>
    <row r="14" spans="1:14" x14ac:dyDescent="0.25">
      <c r="A14" s="52">
        <v>42748</v>
      </c>
      <c r="B14" s="53" t="s">
        <v>2</v>
      </c>
      <c r="C14" s="53" t="s">
        <v>145</v>
      </c>
      <c r="D14">
        <v>37.5</v>
      </c>
      <c r="E14">
        <v>1.33</v>
      </c>
      <c r="F14" s="53" t="s">
        <v>138</v>
      </c>
      <c r="G14">
        <v>19</v>
      </c>
      <c r="H14" s="53" t="s">
        <v>139</v>
      </c>
      <c r="I14">
        <v>5</v>
      </c>
      <c r="J14">
        <v>0.3</v>
      </c>
      <c r="K14">
        <v>15</v>
      </c>
      <c r="L14">
        <v>8</v>
      </c>
      <c r="M14">
        <v>5</v>
      </c>
      <c r="N14">
        <v>4.5</v>
      </c>
    </row>
    <row r="15" spans="1:14" x14ac:dyDescent="0.25">
      <c r="A15" s="52">
        <v>42749</v>
      </c>
      <c r="B15" s="53" t="s">
        <v>2</v>
      </c>
      <c r="C15" s="53" t="s">
        <v>146</v>
      </c>
      <c r="D15">
        <v>44.1</v>
      </c>
      <c r="E15">
        <v>1.05</v>
      </c>
      <c r="F15" s="53" t="s">
        <v>138</v>
      </c>
      <c r="G15">
        <v>23</v>
      </c>
      <c r="H15" s="53" t="s">
        <v>142</v>
      </c>
      <c r="I15">
        <v>10</v>
      </c>
      <c r="J15">
        <v>0.3</v>
      </c>
      <c r="K15">
        <v>17</v>
      </c>
      <c r="L15">
        <v>8</v>
      </c>
      <c r="M15">
        <v>10</v>
      </c>
      <c r="N15">
        <v>5.0999999999999996</v>
      </c>
    </row>
    <row r="16" spans="1:14" x14ac:dyDescent="0.25">
      <c r="A16" s="52">
        <v>42750</v>
      </c>
      <c r="B16" s="53" t="s">
        <v>2</v>
      </c>
      <c r="C16" s="53" t="s">
        <v>137</v>
      </c>
      <c r="D16">
        <v>43.4</v>
      </c>
      <c r="E16">
        <v>0</v>
      </c>
      <c r="F16" s="53" t="s">
        <v>147</v>
      </c>
      <c r="G16">
        <v>33</v>
      </c>
      <c r="H16" s="53" t="s">
        <v>142</v>
      </c>
      <c r="I16">
        <v>10</v>
      </c>
      <c r="J16">
        <v>0.3</v>
      </c>
      <c r="K16">
        <v>18</v>
      </c>
      <c r="L16">
        <v>8</v>
      </c>
      <c r="M16">
        <v>10</v>
      </c>
      <c r="N16">
        <v>5.4</v>
      </c>
    </row>
    <row r="17" spans="1:14" x14ac:dyDescent="0.25">
      <c r="A17" s="52">
        <v>42751</v>
      </c>
      <c r="B17" s="53" t="s">
        <v>2</v>
      </c>
      <c r="C17" s="53" t="s">
        <v>140</v>
      </c>
      <c r="D17">
        <v>30.6</v>
      </c>
      <c r="E17">
        <v>1.67</v>
      </c>
      <c r="F17" s="53" t="s">
        <v>138</v>
      </c>
      <c r="G17">
        <v>24</v>
      </c>
      <c r="H17" s="53" t="s">
        <v>142</v>
      </c>
      <c r="I17">
        <v>10</v>
      </c>
      <c r="J17">
        <v>0.3</v>
      </c>
      <c r="K17">
        <v>12</v>
      </c>
      <c r="L17">
        <v>8</v>
      </c>
      <c r="M17">
        <v>10</v>
      </c>
      <c r="N17">
        <v>3.6</v>
      </c>
    </row>
    <row r="18" spans="1:14" x14ac:dyDescent="0.25">
      <c r="A18" s="52">
        <v>42752</v>
      </c>
      <c r="B18" s="53" t="s">
        <v>2</v>
      </c>
      <c r="C18" s="53" t="s">
        <v>141</v>
      </c>
      <c r="D18">
        <v>32.200000000000003</v>
      </c>
      <c r="E18">
        <v>1.43</v>
      </c>
      <c r="F18" s="53" t="s">
        <v>138</v>
      </c>
      <c r="G18">
        <v>26</v>
      </c>
      <c r="H18" s="53" t="s">
        <v>142</v>
      </c>
      <c r="I18">
        <v>10</v>
      </c>
      <c r="J18">
        <v>0.3</v>
      </c>
      <c r="K18">
        <v>14</v>
      </c>
      <c r="L18">
        <v>8</v>
      </c>
      <c r="M18">
        <v>10</v>
      </c>
      <c r="N18">
        <v>4.2</v>
      </c>
    </row>
    <row r="19" spans="1:14" x14ac:dyDescent="0.25">
      <c r="A19" s="52">
        <v>42753</v>
      </c>
      <c r="B19" s="53" t="s">
        <v>2</v>
      </c>
      <c r="C19" s="53" t="s">
        <v>143</v>
      </c>
      <c r="D19">
        <v>42.8</v>
      </c>
      <c r="E19">
        <v>1.18</v>
      </c>
      <c r="F19" s="53" t="s">
        <v>138</v>
      </c>
      <c r="G19">
        <v>33</v>
      </c>
      <c r="H19" s="53" t="s">
        <v>142</v>
      </c>
      <c r="I19">
        <v>10</v>
      </c>
      <c r="J19">
        <v>0.3</v>
      </c>
      <c r="K19">
        <v>16</v>
      </c>
      <c r="L19">
        <v>8</v>
      </c>
      <c r="M19">
        <v>10</v>
      </c>
      <c r="N19">
        <v>4.8</v>
      </c>
    </row>
    <row r="20" spans="1:14" x14ac:dyDescent="0.25">
      <c r="A20" s="52">
        <v>42754</v>
      </c>
      <c r="B20" s="53" t="s">
        <v>2</v>
      </c>
      <c r="C20" s="53" t="s">
        <v>144</v>
      </c>
      <c r="D20">
        <v>43.1</v>
      </c>
      <c r="E20">
        <v>1.18</v>
      </c>
      <c r="F20" s="53" t="s">
        <v>138</v>
      </c>
      <c r="G20">
        <v>30</v>
      </c>
      <c r="H20" s="53" t="s">
        <v>142</v>
      </c>
      <c r="I20">
        <v>10</v>
      </c>
      <c r="J20">
        <v>0.3</v>
      </c>
      <c r="K20">
        <v>17</v>
      </c>
      <c r="L20">
        <v>8</v>
      </c>
      <c r="M20">
        <v>10</v>
      </c>
      <c r="N20">
        <v>5.0999999999999996</v>
      </c>
    </row>
    <row r="21" spans="1:14" x14ac:dyDescent="0.25">
      <c r="A21" s="52">
        <v>42755</v>
      </c>
      <c r="B21" s="53" t="s">
        <v>2</v>
      </c>
      <c r="C21" s="53" t="s">
        <v>145</v>
      </c>
      <c r="D21">
        <v>31.6</v>
      </c>
      <c r="E21">
        <v>1.43</v>
      </c>
      <c r="F21" s="53" t="s">
        <v>138</v>
      </c>
      <c r="G21">
        <v>20</v>
      </c>
      <c r="H21" s="53" t="s">
        <v>142</v>
      </c>
      <c r="I21">
        <v>10</v>
      </c>
      <c r="J21">
        <v>0.3</v>
      </c>
      <c r="K21">
        <v>12</v>
      </c>
      <c r="L21">
        <v>8</v>
      </c>
      <c r="M21">
        <v>10</v>
      </c>
      <c r="N21">
        <v>3.6</v>
      </c>
    </row>
    <row r="22" spans="1:14" x14ac:dyDescent="0.25">
      <c r="A22" s="52">
        <v>42756</v>
      </c>
      <c r="B22" s="53" t="s">
        <v>2</v>
      </c>
      <c r="C22" s="53" t="s">
        <v>146</v>
      </c>
      <c r="D22">
        <v>36.200000000000003</v>
      </c>
      <c r="E22">
        <v>1.25</v>
      </c>
      <c r="F22" s="53" t="s">
        <v>138</v>
      </c>
      <c r="G22">
        <v>16</v>
      </c>
      <c r="H22" s="53" t="s">
        <v>139</v>
      </c>
      <c r="I22">
        <v>5</v>
      </c>
      <c r="J22">
        <v>0.3</v>
      </c>
      <c r="K22">
        <v>14</v>
      </c>
      <c r="L22">
        <v>8</v>
      </c>
      <c r="M22">
        <v>5</v>
      </c>
      <c r="N22">
        <v>4.2</v>
      </c>
    </row>
    <row r="23" spans="1:14" x14ac:dyDescent="0.25">
      <c r="A23" s="52">
        <v>42757</v>
      </c>
      <c r="B23" s="53" t="s">
        <v>2</v>
      </c>
      <c r="C23" s="53" t="s">
        <v>137</v>
      </c>
      <c r="D23">
        <v>40.799999999999997</v>
      </c>
      <c r="E23">
        <v>1.1100000000000001</v>
      </c>
      <c r="F23" s="53" t="s">
        <v>138</v>
      </c>
      <c r="G23">
        <v>19</v>
      </c>
      <c r="H23" s="53" t="s">
        <v>139</v>
      </c>
      <c r="I23">
        <v>5</v>
      </c>
      <c r="J23">
        <v>0.3</v>
      </c>
      <c r="K23">
        <v>16</v>
      </c>
      <c r="L23">
        <v>8</v>
      </c>
      <c r="M23">
        <v>5</v>
      </c>
      <c r="N23">
        <v>4.8</v>
      </c>
    </row>
    <row r="24" spans="1:14" x14ac:dyDescent="0.25">
      <c r="A24" s="52">
        <v>42758</v>
      </c>
      <c r="B24" s="53" t="s">
        <v>2</v>
      </c>
      <c r="C24" s="53" t="s">
        <v>140</v>
      </c>
      <c r="D24">
        <v>38.1</v>
      </c>
      <c r="E24">
        <v>1.05</v>
      </c>
      <c r="F24" s="53" t="s">
        <v>138</v>
      </c>
      <c r="G24">
        <v>21</v>
      </c>
      <c r="H24" s="53" t="s">
        <v>142</v>
      </c>
      <c r="I24">
        <v>10</v>
      </c>
      <c r="J24">
        <v>0.3</v>
      </c>
      <c r="K24">
        <v>17</v>
      </c>
      <c r="L24">
        <v>8</v>
      </c>
      <c r="M24">
        <v>10</v>
      </c>
      <c r="N24">
        <v>5.0999999999999996</v>
      </c>
    </row>
    <row r="25" spans="1:14" x14ac:dyDescent="0.25">
      <c r="A25" s="52">
        <v>42759</v>
      </c>
      <c r="B25" s="53" t="s">
        <v>2</v>
      </c>
      <c r="C25" s="53" t="s">
        <v>141</v>
      </c>
      <c r="D25">
        <v>28.6</v>
      </c>
      <c r="E25">
        <v>0</v>
      </c>
      <c r="F25" s="53" t="s">
        <v>147</v>
      </c>
      <c r="G25">
        <v>20</v>
      </c>
      <c r="H25" s="53" t="s">
        <v>142</v>
      </c>
      <c r="I25">
        <v>10</v>
      </c>
      <c r="J25">
        <v>0.3</v>
      </c>
      <c r="K25">
        <v>12</v>
      </c>
      <c r="L25">
        <v>8</v>
      </c>
      <c r="M25">
        <v>10</v>
      </c>
      <c r="N25">
        <v>3.6</v>
      </c>
    </row>
    <row r="26" spans="1:14" x14ac:dyDescent="0.25">
      <c r="A26" s="52">
        <v>42760</v>
      </c>
      <c r="B26" s="53" t="s">
        <v>2</v>
      </c>
      <c r="C26" s="53" t="s">
        <v>143</v>
      </c>
      <c r="D26">
        <v>32.200000000000003</v>
      </c>
      <c r="E26">
        <v>1.25</v>
      </c>
      <c r="F26" s="53" t="s">
        <v>138</v>
      </c>
      <c r="G26">
        <v>24</v>
      </c>
      <c r="H26" s="53" t="s">
        <v>142</v>
      </c>
      <c r="I26">
        <v>10</v>
      </c>
      <c r="J26">
        <v>0.3</v>
      </c>
      <c r="K26">
        <v>14</v>
      </c>
      <c r="L26">
        <v>8</v>
      </c>
      <c r="M26">
        <v>10</v>
      </c>
      <c r="N26">
        <v>4.2</v>
      </c>
    </row>
    <row r="27" spans="1:14" x14ac:dyDescent="0.25">
      <c r="A27" s="52">
        <v>42761</v>
      </c>
      <c r="B27" s="53" t="s">
        <v>2</v>
      </c>
      <c r="C27" s="53" t="s">
        <v>144</v>
      </c>
      <c r="D27">
        <v>35.799999999999997</v>
      </c>
      <c r="E27">
        <v>1.25</v>
      </c>
      <c r="F27" s="53" t="s">
        <v>138</v>
      </c>
      <c r="G27">
        <v>18</v>
      </c>
      <c r="H27" s="53" t="s">
        <v>139</v>
      </c>
      <c r="I27">
        <v>5</v>
      </c>
      <c r="J27">
        <v>0.3</v>
      </c>
      <c r="K27">
        <v>16</v>
      </c>
      <c r="L27">
        <v>8</v>
      </c>
      <c r="M27">
        <v>5</v>
      </c>
      <c r="N27">
        <v>4.8</v>
      </c>
    </row>
    <row r="28" spans="1:14" x14ac:dyDescent="0.25">
      <c r="A28" s="52">
        <v>42762</v>
      </c>
      <c r="B28" s="53" t="s">
        <v>2</v>
      </c>
      <c r="C28" s="53" t="s">
        <v>145</v>
      </c>
      <c r="D28">
        <v>42.1</v>
      </c>
      <c r="E28">
        <v>1.05</v>
      </c>
      <c r="F28" s="53" t="s">
        <v>138</v>
      </c>
      <c r="G28">
        <v>22</v>
      </c>
      <c r="H28" s="53" t="s">
        <v>142</v>
      </c>
      <c r="I28">
        <v>10</v>
      </c>
      <c r="J28">
        <v>0.3</v>
      </c>
      <c r="K28">
        <v>17</v>
      </c>
      <c r="L28">
        <v>8</v>
      </c>
      <c r="M28">
        <v>10</v>
      </c>
      <c r="N28">
        <v>5.0999999999999996</v>
      </c>
    </row>
    <row r="29" spans="1:14" x14ac:dyDescent="0.25">
      <c r="A29" s="52">
        <v>42763</v>
      </c>
      <c r="B29" s="53" t="s">
        <v>2</v>
      </c>
      <c r="C29" s="53" t="s">
        <v>146</v>
      </c>
      <c r="D29">
        <v>34.9</v>
      </c>
      <c r="E29">
        <v>1.33</v>
      </c>
      <c r="F29" s="53" t="s">
        <v>138</v>
      </c>
      <c r="G29">
        <v>15</v>
      </c>
      <c r="H29" s="53" t="s">
        <v>139</v>
      </c>
      <c r="I29">
        <v>5</v>
      </c>
      <c r="J29">
        <v>0.3</v>
      </c>
      <c r="K29">
        <v>13</v>
      </c>
      <c r="L29">
        <v>8</v>
      </c>
      <c r="M29">
        <v>5</v>
      </c>
      <c r="N29">
        <v>3.9</v>
      </c>
    </row>
    <row r="30" spans="1:14" x14ac:dyDescent="0.25">
      <c r="A30" s="52">
        <v>42764</v>
      </c>
      <c r="B30" s="53" t="s">
        <v>2</v>
      </c>
      <c r="C30" s="53" t="s">
        <v>137</v>
      </c>
      <c r="D30">
        <v>35.200000000000003</v>
      </c>
      <c r="E30">
        <v>0</v>
      </c>
      <c r="F30" s="53" t="s">
        <v>147</v>
      </c>
      <c r="G30">
        <v>27</v>
      </c>
      <c r="H30" s="53" t="s">
        <v>142</v>
      </c>
      <c r="I30">
        <v>10</v>
      </c>
      <c r="J30">
        <v>0.3</v>
      </c>
      <c r="K30">
        <v>14</v>
      </c>
      <c r="L30">
        <v>8</v>
      </c>
      <c r="M30">
        <v>10</v>
      </c>
      <c r="N30">
        <v>4.2</v>
      </c>
    </row>
    <row r="31" spans="1:14" x14ac:dyDescent="0.25">
      <c r="A31" s="52">
        <v>42765</v>
      </c>
      <c r="B31" s="53" t="s">
        <v>2</v>
      </c>
      <c r="C31" s="53" t="s">
        <v>140</v>
      </c>
      <c r="D31">
        <v>41.1</v>
      </c>
      <c r="E31">
        <v>1.05</v>
      </c>
      <c r="F31" s="53" t="s">
        <v>138</v>
      </c>
      <c r="G31">
        <v>20</v>
      </c>
      <c r="H31" s="53" t="s">
        <v>142</v>
      </c>
      <c r="I31">
        <v>10</v>
      </c>
      <c r="J31">
        <v>0.3</v>
      </c>
      <c r="K31">
        <v>17</v>
      </c>
      <c r="L31">
        <v>8</v>
      </c>
      <c r="M31">
        <v>10</v>
      </c>
      <c r="N31">
        <v>5.0999999999999996</v>
      </c>
    </row>
    <row r="32" spans="1:14" x14ac:dyDescent="0.25">
      <c r="A32" s="52">
        <v>42766</v>
      </c>
      <c r="B32" s="53" t="s">
        <v>2</v>
      </c>
      <c r="C32" s="53" t="s">
        <v>141</v>
      </c>
      <c r="D32">
        <v>40.4</v>
      </c>
      <c r="E32">
        <v>1.05</v>
      </c>
      <c r="F32" s="53" t="s">
        <v>138</v>
      </c>
      <c r="G32">
        <v>37</v>
      </c>
      <c r="H32" s="53" t="s">
        <v>142</v>
      </c>
      <c r="I32">
        <v>10</v>
      </c>
      <c r="J32">
        <v>0.3</v>
      </c>
      <c r="K32">
        <v>18</v>
      </c>
      <c r="L32">
        <v>8</v>
      </c>
      <c r="M32">
        <v>10</v>
      </c>
      <c r="N32">
        <v>5.4</v>
      </c>
    </row>
    <row r="33" spans="1:14" x14ac:dyDescent="0.25">
      <c r="A33" s="52">
        <v>42767</v>
      </c>
      <c r="B33" s="53" t="s">
        <v>148</v>
      </c>
      <c r="C33" s="53" t="s">
        <v>143</v>
      </c>
      <c r="D33">
        <v>42.4</v>
      </c>
      <c r="E33">
        <v>1</v>
      </c>
      <c r="F33" s="53" t="s">
        <v>142</v>
      </c>
      <c r="G33">
        <v>35</v>
      </c>
      <c r="H33" s="53" t="s">
        <v>142</v>
      </c>
      <c r="I33">
        <v>10</v>
      </c>
      <c r="J33">
        <v>0.3</v>
      </c>
      <c r="K33">
        <v>18</v>
      </c>
      <c r="L33">
        <v>8</v>
      </c>
      <c r="M33">
        <v>10</v>
      </c>
      <c r="N33">
        <v>5.4</v>
      </c>
    </row>
    <row r="34" spans="1:14" x14ac:dyDescent="0.25">
      <c r="A34" s="52">
        <v>42768</v>
      </c>
      <c r="B34" s="53" t="s">
        <v>148</v>
      </c>
      <c r="C34" s="53" t="s">
        <v>144</v>
      </c>
      <c r="D34">
        <v>52</v>
      </c>
      <c r="E34">
        <v>1</v>
      </c>
      <c r="F34" s="53" t="s">
        <v>142</v>
      </c>
      <c r="G34">
        <v>22</v>
      </c>
      <c r="H34" s="53" t="s">
        <v>142</v>
      </c>
      <c r="I34">
        <v>10</v>
      </c>
      <c r="J34">
        <v>0.3</v>
      </c>
      <c r="K34">
        <v>20</v>
      </c>
      <c r="L34">
        <v>8</v>
      </c>
      <c r="M34">
        <v>10</v>
      </c>
      <c r="N34">
        <v>6</v>
      </c>
    </row>
    <row r="35" spans="1:14" x14ac:dyDescent="0.25">
      <c r="A35" s="52">
        <v>42769</v>
      </c>
      <c r="B35" s="53" t="s">
        <v>148</v>
      </c>
      <c r="C35" s="53" t="s">
        <v>145</v>
      </c>
      <c r="D35">
        <v>50.3</v>
      </c>
      <c r="E35">
        <v>0.87</v>
      </c>
      <c r="F35" s="53" t="s">
        <v>142</v>
      </c>
      <c r="G35">
        <v>25</v>
      </c>
      <c r="H35" s="53" t="s">
        <v>142</v>
      </c>
      <c r="I35">
        <v>10</v>
      </c>
      <c r="J35">
        <v>0.3</v>
      </c>
      <c r="K35">
        <v>21</v>
      </c>
      <c r="L35">
        <v>8</v>
      </c>
      <c r="M35">
        <v>10</v>
      </c>
      <c r="N35">
        <v>6.3</v>
      </c>
    </row>
    <row r="36" spans="1:14" x14ac:dyDescent="0.25">
      <c r="A36" s="52">
        <v>42770</v>
      </c>
      <c r="B36" s="53" t="s">
        <v>148</v>
      </c>
      <c r="C36" s="53" t="s">
        <v>146</v>
      </c>
      <c r="D36">
        <v>56.6</v>
      </c>
      <c r="E36">
        <v>0.83</v>
      </c>
      <c r="F36" s="53" t="s">
        <v>142</v>
      </c>
      <c r="G36">
        <v>46</v>
      </c>
      <c r="H36" s="53" t="s">
        <v>149</v>
      </c>
      <c r="I36">
        <v>15</v>
      </c>
      <c r="J36">
        <v>0.3</v>
      </c>
      <c r="K36">
        <v>22</v>
      </c>
      <c r="L36">
        <v>8</v>
      </c>
      <c r="M36">
        <v>15</v>
      </c>
      <c r="N36">
        <v>6.6</v>
      </c>
    </row>
    <row r="37" spans="1:14" x14ac:dyDescent="0.25">
      <c r="A37" s="52">
        <v>42771</v>
      </c>
      <c r="B37" s="53" t="s">
        <v>148</v>
      </c>
      <c r="C37" s="53" t="s">
        <v>137</v>
      </c>
      <c r="D37">
        <v>45.4</v>
      </c>
      <c r="E37">
        <v>1.1100000000000001</v>
      </c>
      <c r="F37" s="53" t="s">
        <v>138</v>
      </c>
      <c r="G37">
        <v>32</v>
      </c>
      <c r="H37" s="53" t="s">
        <v>142</v>
      </c>
      <c r="I37">
        <v>10</v>
      </c>
      <c r="J37">
        <v>0.3</v>
      </c>
      <c r="K37">
        <v>18</v>
      </c>
      <c r="L37">
        <v>8</v>
      </c>
      <c r="M37">
        <v>10</v>
      </c>
      <c r="N37">
        <v>5.4</v>
      </c>
    </row>
    <row r="38" spans="1:14" x14ac:dyDescent="0.25">
      <c r="A38" s="52">
        <v>42772</v>
      </c>
      <c r="B38" s="53" t="s">
        <v>148</v>
      </c>
      <c r="C38" s="53" t="s">
        <v>140</v>
      </c>
      <c r="D38">
        <v>45</v>
      </c>
      <c r="E38">
        <v>0.95</v>
      </c>
      <c r="F38" s="53" t="s">
        <v>142</v>
      </c>
      <c r="G38">
        <v>28</v>
      </c>
      <c r="H38" s="53" t="s">
        <v>142</v>
      </c>
      <c r="I38">
        <v>10</v>
      </c>
      <c r="J38">
        <v>0.3</v>
      </c>
      <c r="K38">
        <v>20</v>
      </c>
      <c r="L38">
        <v>8</v>
      </c>
      <c r="M38">
        <v>10</v>
      </c>
      <c r="N38">
        <v>6</v>
      </c>
    </row>
    <row r="39" spans="1:14" x14ac:dyDescent="0.25">
      <c r="A39" s="52">
        <v>42773</v>
      </c>
      <c r="B39" s="53" t="s">
        <v>148</v>
      </c>
      <c r="C39" s="53" t="s">
        <v>141</v>
      </c>
      <c r="D39">
        <v>52.3</v>
      </c>
      <c r="E39">
        <v>0.87</v>
      </c>
      <c r="F39" s="53" t="s">
        <v>142</v>
      </c>
      <c r="G39">
        <v>39</v>
      </c>
      <c r="H39" s="53" t="s">
        <v>142</v>
      </c>
      <c r="I39">
        <v>10</v>
      </c>
      <c r="J39">
        <v>0.3</v>
      </c>
      <c r="K39">
        <v>21</v>
      </c>
      <c r="L39">
        <v>8</v>
      </c>
      <c r="M39">
        <v>10</v>
      </c>
      <c r="N39">
        <v>6.3</v>
      </c>
    </row>
    <row r="40" spans="1:14" x14ac:dyDescent="0.25">
      <c r="A40" s="52">
        <v>42774</v>
      </c>
      <c r="B40" s="53" t="s">
        <v>148</v>
      </c>
      <c r="C40" s="53" t="s">
        <v>143</v>
      </c>
      <c r="D40">
        <v>52.6</v>
      </c>
      <c r="E40">
        <v>0.87</v>
      </c>
      <c r="F40" s="53" t="s">
        <v>142</v>
      </c>
      <c r="G40">
        <v>31</v>
      </c>
      <c r="H40" s="53" t="s">
        <v>142</v>
      </c>
      <c r="I40">
        <v>10</v>
      </c>
      <c r="J40">
        <v>0.3</v>
      </c>
      <c r="K40">
        <v>22</v>
      </c>
      <c r="L40">
        <v>8</v>
      </c>
      <c r="M40">
        <v>10</v>
      </c>
      <c r="N40">
        <v>6.6</v>
      </c>
    </row>
    <row r="41" spans="1:14" x14ac:dyDescent="0.25">
      <c r="A41" s="52">
        <v>42775</v>
      </c>
      <c r="B41" s="53" t="s">
        <v>148</v>
      </c>
      <c r="C41" s="53" t="s">
        <v>144</v>
      </c>
      <c r="D41">
        <v>42.7</v>
      </c>
      <c r="E41">
        <v>1</v>
      </c>
      <c r="F41" s="53" t="s">
        <v>142</v>
      </c>
      <c r="G41">
        <v>39</v>
      </c>
      <c r="H41" s="53" t="s">
        <v>142</v>
      </c>
      <c r="I41">
        <v>10</v>
      </c>
      <c r="J41">
        <v>0.3</v>
      </c>
      <c r="K41">
        <v>19</v>
      </c>
      <c r="L41">
        <v>8</v>
      </c>
      <c r="M41">
        <v>10</v>
      </c>
      <c r="N41">
        <v>5.7</v>
      </c>
    </row>
    <row r="42" spans="1:14" x14ac:dyDescent="0.25">
      <c r="A42" s="52">
        <v>42776</v>
      </c>
      <c r="B42" s="53" t="s">
        <v>148</v>
      </c>
      <c r="C42" s="53" t="s">
        <v>145</v>
      </c>
      <c r="D42">
        <v>50</v>
      </c>
      <c r="E42">
        <v>0.91</v>
      </c>
      <c r="F42" s="53" t="s">
        <v>142</v>
      </c>
      <c r="G42">
        <v>40</v>
      </c>
      <c r="H42" s="53" t="s">
        <v>142</v>
      </c>
      <c r="I42">
        <v>10</v>
      </c>
      <c r="J42">
        <v>0.3</v>
      </c>
      <c r="K42">
        <v>20</v>
      </c>
      <c r="L42">
        <v>8</v>
      </c>
      <c r="M42">
        <v>10</v>
      </c>
      <c r="N42">
        <v>6</v>
      </c>
    </row>
    <row r="43" spans="1:14" x14ac:dyDescent="0.25">
      <c r="A43" s="52">
        <v>42777</v>
      </c>
      <c r="B43" s="53" t="s">
        <v>148</v>
      </c>
      <c r="C43" s="53" t="s">
        <v>146</v>
      </c>
      <c r="D43">
        <v>51.3</v>
      </c>
      <c r="E43">
        <v>0.91</v>
      </c>
      <c r="F43" s="53" t="s">
        <v>142</v>
      </c>
      <c r="G43">
        <v>35</v>
      </c>
      <c r="H43" s="53" t="s">
        <v>142</v>
      </c>
      <c r="I43">
        <v>10</v>
      </c>
      <c r="J43">
        <v>0.3</v>
      </c>
      <c r="K43">
        <v>21</v>
      </c>
      <c r="L43">
        <v>8</v>
      </c>
      <c r="M43">
        <v>10</v>
      </c>
      <c r="N43">
        <v>6.3</v>
      </c>
    </row>
    <row r="44" spans="1:14" x14ac:dyDescent="0.25">
      <c r="A44" s="52">
        <v>42778</v>
      </c>
      <c r="B44" s="53" t="s">
        <v>148</v>
      </c>
      <c r="C44" s="53" t="s">
        <v>137</v>
      </c>
      <c r="D44">
        <v>55.6</v>
      </c>
      <c r="E44">
        <v>0.83</v>
      </c>
      <c r="F44" s="53" t="s">
        <v>142</v>
      </c>
      <c r="G44">
        <v>41</v>
      </c>
      <c r="H44" s="53" t="s">
        <v>149</v>
      </c>
      <c r="I44">
        <v>15</v>
      </c>
      <c r="J44">
        <v>0.3</v>
      </c>
      <c r="K44">
        <v>22</v>
      </c>
      <c r="L44">
        <v>8</v>
      </c>
      <c r="M44">
        <v>15</v>
      </c>
      <c r="N44">
        <v>6.6</v>
      </c>
    </row>
    <row r="45" spans="1:14" x14ac:dyDescent="0.25">
      <c r="A45" s="52">
        <v>42779</v>
      </c>
      <c r="B45" s="53" t="s">
        <v>148</v>
      </c>
      <c r="C45" s="53" t="s">
        <v>140</v>
      </c>
      <c r="D45">
        <v>46.4</v>
      </c>
      <c r="E45">
        <v>1.1100000000000001</v>
      </c>
      <c r="F45" s="53" t="s">
        <v>138</v>
      </c>
      <c r="G45">
        <v>34</v>
      </c>
      <c r="H45" s="53" t="s">
        <v>142</v>
      </c>
      <c r="I45">
        <v>10</v>
      </c>
      <c r="J45">
        <v>0.3</v>
      </c>
      <c r="K45">
        <v>18</v>
      </c>
      <c r="L45">
        <v>8</v>
      </c>
      <c r="M45">
        <v>10</v>
      </c>
      <c r="N45">
        <v>5.4</v>
      </c>
    </row>
    <row r="46" spans="1:14" x14ac:dyDescent="0.25">
      <c r="A46" s="52">
        <v>42780</v>
      </c>
      <c r="B46" s="53" t="s">
        <v>148</v>
      </c>
      <c r="C46" s="53" t="s">
        <v>141</v>
      </c>
      <c r="D46">
        <v>47.7</v>
      </c>
      <c r="E46">
        <v>0.95</v>
      </c>
      <c r="F46" s="53" t="s">
        <v>142</v>
      </c>
      <c r="G46">
        <v>35</v>
      </c>
      <c r="H46" s="53" t="s">
        <v>142</v>
      </c>
      <c r="I46">
        <v>10</v>
      </c>
      <c r="J46">
        <v>0.3</v>
      </c>
      <c r="K46">
        <v>19</v>
      </c>
      <c r="L46">
        <v>8</v>
      </c>
      <c r="M46">
        <v>10</v>
      </c>
      <c r="N46">
        <v>5.7</v>
      </c>
    </row>
    <row r="47" spans="1:14" x14ac:dyDescent="0.25">
      <c r="A47" s="52">
        <v>42781</v>
      </c>
      <c r="B47" s="53" t="s">
        <v>148</v>
      </c>
      <c r="C47" s="53" t="s">
        <v>143</v>
      </c>
      <c r="D47">
        <v>52</v>
      </c>
      <c r="E47">
        <v>0.91</v>
      </c>
      <c r="F47" s="53" t="s">
        <v>142</v>
      </c>
      <c r="G47">
        <v>33</v>
      </c>
      <c r="H47" s="53" t="s">
        <v>142</v>
      </c>
      <c r="I47">
        <v>10</v>
      </c>
      <c r="J47">
        <v>0.3</v>
      </c>
      <c r="K47">
        <v>20</v>
      </c>
      <c r="L47">
        <v>8</v>
      </c>
      <c r="M47">
        <v>10</v>
      </c>
      <c r="N47">
        <v>6</v>
      </c>
    </row>
    <row r="48" spans="1:14" x14ac:dyDescent="0.25">
      <c r="A48" s="52">
        <v>42782</v>
      </c>
      <c r="B48" s="53" t="s">
        <v>148</v>
      </c>
      <c r="C48" s="53" t="s">
        <v>144</v>
      </c>
      <c r="D48">
        <v>47.3</v>
      </c>
      <c r="E48">
        <v>0.87</v>
      </c>
      <c r="F48" s="53" t="s">
        <v>142</v>
      </c>
      <c r="G48">
        <v>31</v>
      </c>
      <c r="H48" s="53" t="s">
        <v>142</v>
      </c>
      <c r="I48">
        <v>10</v>
      </c>
      <c r="J48">
        <v>0.3</v>
      </c>
      <c r="K48">
        <v>21</v>
      </c>
      <c r="L48">
        <v>8</v>
      </c>
      <c r="M48">
        <v>10</v>
      </c>
      <c r="N48">
        <v>6.3</v>
      </c>
    </row>
    <row r="49" spans="1:14" x14ac:dyDescent="0.25">
      <c r="A49" s="52">
        <v>42783</v>
      </c>
      <c r="B49" s="53" t="s">
        <v>148</v>
      </c>
      <c r="C49" s="53" t="s">
        <v>145</v>
      </c>
      <c r="D49">
        <v>40.4</v>
      </c>
      <c r="E49">
        <v>1</v>
      </c>
      <c r="F49" s="53" t="s">
        <v>142</v>
      </c>
      <c r="G49">
        <v>29</v>
      </c>
      <c r="H49" s="53" t="s">
        <v>142</v>
      </c>
      <c r="I49">
        <v>10</v>
      </c>
      <c r="J49">
        <v>0.3</v>
      </c>
      <c r="K49">
        <v>18</v>
      </c>
      <c r="L49">
        <v>8</v>
      </c>
      <c r="M49">
        <v>10</v>
      </c>
      <c r="N49">
        <v>5.4</v>
      </c>
    </row>
    <row r="50" spans="1:14" x14ac:dyDescent="0.25">
      <c r="A50" s="52">
        <v>42784</v>
      </c>
      <c r="B50" s="53" t="s">
        <v>148</v>
      </c>
      <c r="C50" s="53" t="s">
        <v>146</v>
      </c>
      <c r="D50">
        <v>43.7</v>
      </c>
      <c r="E50">
        <v>0.95</v>
      </c>
      <c r="F50" s="53" t="s">
        <v>142</v>
      </c>
      <c r="G50">
        <v>25</v>
      </c>
      <c r="H50" s="53" t="s">
        <v>142</v>
      </c>
      <c r="I50">
        <v>10</v>
      </c>
      <c r="J50">
        <v>0.3</v>
      </c>
      <c r="K50">
        <v>19</v>
      </c>
      <c r="L50">
        <v>8</v>
      </c>
      <c r="M50">
        <v>10</v>
      </c>
      <c r="N50">
        <v>5.7</v>
      </c>
    </row>
    <row r="51" spans="1:14" x14ac:dyDescent="0.25">
      <c r="A51" s="52">
        <v>42785</v>
      </c>
      <c r="B51" s="53" t="s">
        <v>148</v>
      </c>
      <c r="C51" s="53" t="s">
        <v>137</v>
      </c>
      <c r="D51">
        <v>50</v>
      </c>
      <c r="E51">
        <v>0.95</v>
      </c>
      <c r="F51" s="53" t="s">
        <v>142</v>
      </c>
      <c r="G51">
        <v>28</v>
      </c>
      <c r="H51" s="53" t="s">
        <v>142</v>
      </c>
      <c r="I51">
        <v>10</v>
      </c>
      <c r="J51">
        <v>0.3</v>
      </c>
      <c r="K51">
        <v>20</v>
      </c>
      <c r="L51">
        <v>8</v>
      </c>
      <c r="M51">
        <v>10</v>
      </c>
      <c r="N51">
        <v>6</v>
      </c>
    </row>
    <row r="52" spans="1:14" x14ac:dyDescent="0.25">
      <c r="A52" s="52">
        <v>42786</v>
      </c>
      <c r="B52" s="53" t="s">
        <v>148</v>
      </c>
      <c r="C52" s="53" t="s">
        <v>140</v>
      </c>
      <c r="D52">
        <v>50.3</v>
      </c>
      <c r="E52">
        <v>0.95</v>
      </c>
      <c r="F52" s="53" t="s">
        <v>142</v>
      </c>
      <c r="G52">
        <v>25</v>
      </c>
      <c r="H52" s="53" t="s">
        <v>142</v>
      </c>
      <c r="I52">
        <v>10</v>
      </c>
      <c r="J52">
        <v>0.3</v>
      </c>
      <c r="K52">
        <v>21</v>
      </c>
      <c r="L52">
        <v>8</v>
      </c>
      <c r="M52">
        <v>10</v>
      </c>
      <c r="N52">
        <v>6.3</v>
      </c>
    </row>
    <row r="53" spans="1:14" x14ac:dyDescent="0.25">
      <c r="A53" s="52">
        <v>42787</v>
      </c>
      <c r="B53" s="53" t="s">
        <v>148</v>
      </c>
      <c r="C53" s="53" t="s">
        <v>141</v>
      </c>
      <c r="D53">
        <v>42.4</v>
      </c>
      <c r="E53">
        <v>1</v>
      </c>
      <c r="F53" s="53" t="s">
        <v>142</v>
      </c>
      <c r="G53">
        <v>28</v>
      </c>
      <c r="H53" s="53" t="s">
        <v>142</v>
      </c>
      <c r="I53">
        <v>10</v>
      </c>
      <c r="J53">
        <v>0.3</v>
      </c>
      <c r="K53">
        <v>18</v>
      </c>
      <c r="L53">
        <v>8</v>
      </c>
      <c r="M53">
        <v>10</v>
      </c>
      <c r="N53">
        <v>5.4</v>
      </c>
    </row>
    <row r="54" spans="1:14" x14ac:dyDescent="0.25">
      <c r="A54" s="52">
        <v>42788</v>
      </c>
      <c r="B54" s="53" t="s">
        <v>148</v>
      </c>
      <c r="C54" s="53" t="s">
        <v>143</v>
      </c>
      <c r="D54">
        <v>47.7</v>
      </c>
      <c r="E54">
        <v>0.95</v>
      </c>
      <c r="F54" s="53" t="s">
        <v>142</v>
      </c>
      <c r="G54">
        <v>36</v>
      </c>
      <c r="H54" s="53" t="s">
        <v>142</v>
      </c>
      <c r="I54">
        <v>10</v>
      </c>
      <c r="J54">
        <v>0.3</v>
      </c>
      <c r="K54">
        <v>19</v>
      </c>
      <c r="L54">
        <v>8</v>
      </c>
      <c r="M54">
        <v>10</v>
      </c>
      <c r="N54">
        <v>5.7</v>
      </c>
    </row>
    <row r="55" spans="1:14" x14ac:dyDescent="0.25">
      <c r="A55" s="52">
        <v>42789</v>
      </c>
      <c r="B55" s="53" t="s">
        <v>148</v>
      </c>
      <c r="C55" s="53" t="s">
        <v>144</v>
      </c>
      <c r="D55">
        <v>45</v>
      </c>
      <c r="E55">
        <v>1</v>
      </c>
      <c r="F55" s="53" t="s">
        <v>142</v>
      </c>
      <c r="G55">
        <v>23</v>
      </c>
      <c r="H55" s="53" t="s">
        <v>142</v>
      </c>
      <c r="I55">
        <v>10</v>
      </c>
      <c r="J55">
        <v>0.3</v>
      </c>
      <c r="K55">
        <v>20</v>
      </c>
      <c r="L55">
        <v>8</v>
      </c>
      <c r="M55">
        <v>10</v>
      </c>
      <c r="N55">
        <v>6</v>
      </c>
    </row>
    <row r="56" spans="1:14" x14ac:dyDescent="0.25">
      <c r="A56" s="52">
        <v>42790</v>
      </c>
      <c r="B56" s="53" t="s">
        <v>148</v>
      </c>
      <c r="C56" s="53" t="s">
        <v>145</v>
      </c>
      <c r="D56">
        <v>47.3</v>
      </c>
      <c r="E56">
        <v>0.87</v>
      </c>
      <c r="F56" s="53" t="s">
        <v>142</v>
      </c>
      <c r="G56">
        <v>36</v>
      </c>
      <c r="H56" s="53" t="s">
        <v>142</v>
      </c>
      <c r="I56">
        <v>10</v>
      </c>
      <c r="J56">
        <v>0.3</v>
      </c>
      <c r="K56">
        <v>21</v>
      </c>
      <c r="L56">
        <v>8</v>
      </c>
      <c r="M56">
        <v>10</v>
      </c>
      <c r="N56">
        <v>6.3</v>
      </c>
    </row>
    <row r="57" spans="1:14" x14ac:dyDescent="0.25">
      <c r="A57" s="52">
        <v>42791</v>
      </c>
      <c r="B57" s="53" t="s">
        <v>148</v>
      </c>
      <c r="C57" s="53" t="s">
        <v>146</v>
      </c>
      <c r="D57">
        <v>42.4</v>
      </c>
      <c r="E57">
        <v>1</v>
      </c>
      <c r="F57" s="53" t="s">
        <v>142</v>
      </c>
      <c r="G57">
        <v>21</v>
      </c>
      <c r="H57" s="53" t="s">
        <v>142</v>
      </c>
      <c r="I57">
        <v>10</v>
      </c>
      <c r="J57">
        <v>0.3</v>
      </c>
      <c r="K57">
        <v>18</v>
      </c>
      <c r="L57">
        <v>8</v>
      </c>
      <c r="M57">
        <v>10</v>
      </c>
      <c r="N57">
        <v>5.4</v>
      </c>
    </row>
    <row r="58" spans="1:14" x14ac:dyDescent="0.25">
      <c r="A58" s="52">
        <v>42792</v>
      </c>
      <c r="B58" s="53" t="s">
        <v>148</v>
      </c>
      <c r="C58" s="53" t="s">
        <v>137</v>
      </c>
      <c r="D58">
        <v>48.7</v>
      </c>
      <c r="E58">
        <v>1.05</v>
      </c>
      <c r="F58" s="53" t="s">
        <v>138</v>
      </c>
      <c r="G58">
        <v>32</v>
      </c>
      <c r="H58" s="53" t="s">
        <v>142</v>
      </c>
      <c r="I58">
        <v>10</v>
      </c>
      <c r="J58">
        <v>0.3</v>
      </c>
      <c r="K58">
        <v>19</v>
      </c>
      <c r="L58">
        <v>8</v>
      </c>
      <c r="M58">
        <v>10</v>
      </c>
      <c r="N58">
        <v>5.7</v>
      </c>
    </row>
    <row r="59" spans="1:14" x14ac:dyDescent="0.25">
      <c r="A59" s="52">
        <v>42793</v>
      </c>
      <c r="B59" s="53" t="s">
        <v>148</v>
      </c>
      <c r="C59" s="53" t="s">
        <v>140</v>
      </c>
      <c r="D59">
        <v>45</v>
      </c>
      <c r="E59">
        <v>1</v>
      </c>
      <c r="F59" s="53" t="s">
        <v>142</v>
      </c>
      <c r="G59">
        <v>34</v>
      </c>
      <c r="H59" s="53" t="s">
        <v>142</v>
      </c>
      <c r="I59">
        <v>10</v>
      </c>
      <c r="J59">
        <v>0.3</v>
      </c>
      <c r="K59">
        <v>20</v>
      </c>
      <c r="L59">
        <v>8</v>
      </c>
      <c r="M59">
        <v>10</v>
      </c>
      <c r="N59">
        <v>6</v>
      </c>
    </row>
    <row r="60" spans="1:14" x14ac:dyDescent="0.25">
      <c r="A60" s="52">
        <v>42794</v>
      </c>
      <c r="B60" s="53" t="s">
        <v>148</v>
      </c>
      <c r="C60" s="53" t="s">
        <v>141</v>
      </c>
      <c r="D60">
        <v>49.6</v>
      </c>
      <c r="E60">
        <v>0.91</v>
      </c>
      <c r="F60" s="53" t="s">
        <v>142</v>
      </c>
      <c r="G60">
        <v>45</v>
      </c>
      <c r="H60" s="53" t="s">
        <v>149</v>
      </c>
      <c r="I60">
        <v>15</v>
      </c>
      <c r="J60">
        <v>0.3</v>
      </c>
      <c r="K60">
        <v>22</v>
      </c>
      <c r="L60">
        <v>8</v>
      </c>
      <c r="M60">
        <v>15</v>
      </c>
      <c r="N60">
        <v>6.6</v>
      </c>
    </row>
    <row r="61" spans="1:14" x14ac:dyDescent="0.25">
      <c r="A61" s="52">
        <v>42795</v>
      </c>
      <c r="B61" s="53" t="s">
        <v>150</v>
      </c>
      <c r="C61" s="53" t="s">
        <v>143</v>
      </c>
      <c r="D61">
        <v>57.9</v>
      </c>
      <c r="E61">
        <v>0.87</v>
      </c>
      <c r="F61" s="53" t="s">
        <v>142</v>
      </c>
      <c r="G61">
        <v>46</v>
      </c>
      <c r="H61" s="53" t="s">
        <v>149</v>
      </c>
      <c r="I61">
        <v>15</v>
      </c>
      <c r="J61">
        <v>0.3</v>
      </c>
      <c r="K61">
        <v>23</v>
      </c>
      <c r="L61">
        <v>8</v>
      </c>
      <c r="M61">
        <v>15</v>
      </c>
      <c r="N61">
        <v>6.9</v>
      </c>
    </row>
    <row r="62" spans="1:14" x14ac:dyDescent="0.25">
      <c r="A62" s="52">
        <v>42796</v>
      </c>
      <c r="B62" s="53" t="s">
        <v>150</v>
      </c>
      <c r="C62" s="53" t="s">
        <v>144</v>
      </c>
      <c r="D62">
        <v>57.2</v>
      </c>
      <c r="E62">
        <v>0.8</v>
      </c>
      <c r="F62" s="53" t="s">
        <v>142</v>
      </c>
      <c r="G62">
        <v>31</v>
      </c>
      <c r="H62" s="53" t="s">
        <v>142</v>
      </c>
      <c r="I62">
        <v>10</v>
      </c>
      <c r="J62">
        <v>0.3</v>
      </c>
      <c r="K62">
        <v>24</v>
      </c>
      <c r="L62">
        <v>8</v>
      </c>
      <c r="M62">
        <v>10</v>
      </c>
      <c r="N62">
        <v>7.2</v>
      </c>
    </row>
    <row r="63" spans="1:14" x14ac:dyDescent="0.25">
      <c r="A63" s="52">
        <v>42797</v>
      </c>
      <c r="B63" s="53" t="s">
        <v>150</v>
      </c>
      <c r="C63" s="53" t="s">
        <v>145</v>
      </c>
      <c r="D63">
        <v>60.2</v>
      </c>
      <c r="E63">
        <v>0.77</v>
      </c>
      <c r="F63" s="53" t="s">
        <v>142</v>
      </c>
      <c r="G63">
        <v>28</v>
      </c>
      <c r="H63" s="53" t="s">
        <v>142</v>
      </c>
      <c r="I63">
        <v>10</v>
      </c>
      <c r="J63">
        <v>0.3</v>
      </c>
      <c r="K63">
        <v>24</v>
      </c>
      <c r="L63">
        <v>8</v>
      </c>
      <c r="M63">
        <v>10</v>
      </c>
      <c r="N63">
        <v>7.2</v>
      </c>
    </row>
    <row r="64" spans="1:14" x14ac:dyDescent="0.25">
      <c r="A64" s="52">
        <v>42798</v>
      </c>
      <c r="B64" s="53" t="s">
        <v>150</v>
      </c>
      <c r="C64" s="53" t="s">
        <v>146</v>
      </c>
      <c r="D64">
        <v>59.5</v>
      </c>
      <c r="E64">
        <v>0.77</v>
      </c>
      <c r="F64" s="53" t="s">
        <v>142</v>
      </c>
      <c r="G64">
        <v>29</v>
      </c>
      <c r="H64" s="53" t="s">
        <v>142</v>
      </c>
      <c r="I64">
        <v>10</v>
      </c>
      <c r="J64">
        <v>0.3</v>
      </c>
      <c r="K64">
        <v>25</v>
      </c>
      <c r="L64">
        <v>8</v>
      </c>
      <c r="M64">
        <v>10</v>
      </c>
      <c r="N64">
        <v>7.5</v>
      </c>
    </row>
    <row r="65" spans="1:14" x14ac:dyDescent="0.25">
      <c r="A65" s="52">
        <v>42799</v>
      </c>
      <c r="B65" s="53" t="s">
        <v>150</v>
      </c>
      <c r="C65" s="53" t="s">
        <v>137</v>
      </c>
      <c r="D65">
        <v>55.9</v>
      </c>
      <c r="E65">
        <v>0.87</v>
      </c>
      <c r="F65" s="53" t="s">
        <v>142</v>
      </c>
      <c r="G65">
        <v>32</v>
      </c>
      <c r="H65" s="53" t="s">
        <v>142</v>
      </c>
      <c r="I65">
        <v>10</v>
      </c>
      <c r="J65">
        <v>0.3</v>
      </c>
      <c r="K65">
        <v>23</v>
      </c>
      <c r="L65">
        <v>8</v>
      </c>
      <c r="M65">
        <v>10</v>
      </c>
      <c r="N65">
        <v>6.9</v>
      </c>
    </row>
    <row r="66" spans="1:14" x14ac:dyDescent="0.25">
      <c r="A66" s="52">
        <v>42800</v>
      </c>
      <c r="B66" s="53" t="s">
        <v>150</v>
      </c>
      <c r="C66" s="53" t="s">
        <v>140</v>
      </c>
      <c r="D66">
        <v>61.2</v>
      </c>
      <c r="E66">
        <v>0.77</v>
      </c>
      <c r="F66" s="53" t="s">
        <v>142</v>
      </c>
      <c r="G66">
        <v>28</v>
      </c>
      <c r="H66" s="53" t="s">
        <v>142</v>
      </c>
      <c r="I66">
        <v>10</v>
      </c>
      <c r="J66">
        <v>0.3</v>
      </c>
      <c r="K66">
        <v>24</v>
      </c>
      <c r="L66">
        <v>8</v>
      </c>
      <c r="M66">
        <v>10</v>
      </c>
      <c r="N66">
        <v>7.2</v>
      </c>
    </row>
    <row r="67" spans="1:14" x14ac:dyDescent="0.25">
      <c r="A67" s="52">
        <v>42801</v>
      </c>
      <c r="B67" s="53" t="s">
        <v>150</v>
      </c>
      <c r="C67" s="53" t="s">
        <v>141</v>
      </c>
      <c r="D67">
        <v>60.2</v>
      </c>
      <c r="E67">
        <v>0.77</v>
      </c>
      <c r="F67" s="53" t="s">
        <v>142</v>
      </c>
      <c r="G67">
        <v>32</v>
      </c>
      <c r="H67" s="53" t="s">
        <v>142</v>
      </c>
      <c r="I67">
        <v>10</v>
      </c>
      <c r="J67">
        <v>0.3</v>
      </c>
      <c r="K67">
        <v>24</v>
      </c>
      <c r="L67">
        <v>8</v>
      </c>
      <c r="M67">
        <v>10</v>
      </c>
      <c r="N67">
        <v>7.2</v>
      </c>
    </row>
    <row r="68" spans="1:14" x14ac:dyDescent="0.25">
      <c r="A68" s="52">
        <v>42802</v>
      </c>
      <c r="B68" s="53" t="s">
        <v>150</v>
      </c>
      <c r="C68" s="53" t="s">
        <v>143</v>
      </c>
      <c r="D68">
        <v>58.5</v>
      </c>
      <c r="E68">
        <v>0.77</v>
      </c>
      <c r="F68" s="53" t="s">
        <v>142</v>
      </c>
      <c r="G68">
        <v>43</v>
      </c>
      <c r="H68" s="53" t="s">
        <v>149</v>
      </c>
      <c r="I68">
        <v>15</v>
      </c>
      <c r="J68">
        <v>0.3</v>
      </c>
      <c r="K68">
        <v>25</v>
      </c>
      <c r="L68">
        <v>8</v>
      </c>
      <c r="M68">
        <v>15</v>
      </c>
      <c r="N68">
        <v>7.5</v>
      </c>
    </row>
    <row r="69" spans="1:14" x14ac:dyDescent="0.25">
      <c r="A69" s="52">
        <v>42803</v>
      </c>
      <c r="B69" s="53" t="s">
        <v>150</v>
      </c>
      <c r="C69" s="53" t="s">
        <v>144</v>
      </c>
      <c r="D69">
        <v>52.9</v>
      </c>
      <c r="E69">
        <v>0.8</v>
      </c>
      <c r="F69" s="53" t="s">
        <v>142</v>
      </c>
      <c r="G69">
        <v>29</v>
      </c>
      <c r="H69" s="53" t="s">
        <v>142</v>
      </c>
      <c r="I69">
        <v>10</v>
      </c>
      <c r="J69">
        <v>0.3</v>
      </c>
      <c r="K69">
        <v>23</v>
      </c>
      <c r="L69">
        <v>8</v>
      </c>
      <c r="M69">
        <v>10</v>
      </c>
      <c r="N69">
        <v>6.9</v>
      </c>
    </row>
    <row r="70" spans="1:14" x14ac:dyDescent="0.25">
      <c r="A70" s="52">
        <v>42804</v>
      </c>
      <c r="B70" s="53" t="s">
        <v>150</v>
      </c>
      <c r="C70" s="53" t="s">
        <v>145</v>
      </c>
      <c r="D70">
        <v>59.2</v>
      </c>
      <c r="E70">
        <v>0.83</v>
      </c>
      <c r="F70" s="53" t="s">
        <v>142</v>
      </c>
      <c r="G70">
        <v>31</v>
      </c>
      <c r="H70" s="53" t="s">
        <v>142</v>
      </c>
      <c r="I70">
        <v>10</v>
      </c>
      <c r="J70">
        <v>0.3</v>
      </c>
      <c r="K70">
        <v>24</v>
      </c>
      <c r="L70">
        <v>8</v>
      </c>
      <c r="M70">
        <v>10</v>
      </c>
      <c r="N70">
        <v>7.2</v>
      </c>
    </row>
    <row r="71" spans="1:14" x14ac:dyDescent="0.25">
      <c r="A71" s="52">
        <v>42805</v>
      </c>
      <c r="B71" s="53" t="s">
        <v>150</v>
      </c>
      <c r="C71" s="53" t="s">
        <v>146</v>
      </c>
      <c r="D71">
        <v>58.2</v>
      </c>
      <c r="E71">
        <v>0.83</v>
      </c>
      <c r="F71" s="53" t="s">
        <v>142</v>
      </c>
      <c r="G71">
        <v>30</v>
      </c>
      <c r="H71" s="53" t="s">
        <v>142</v>
      </c>
      <c r="I71">
        <v>10</v>
      </c>
      <c r="J71">
        <v>0.3</v>
      </c>
      <c r="K71">
        <v>24</v>
      </c>
      <c r="L71">
        <v>8</v>
      </c>
      <c r="M71">
        <v>10</v>
      </c>
      <c r="N71">
        <v>7.2</v>
      </c>
    </row>
    <row r="72" spans="1:14" x14ac:dyDescent="0.25">
      <c r="A72" s="52">
        <v>42806</v>
      </c>
      <c r="B72" s="53" t="s">
        <v>150</v>
      </c>
      <c r="C72" s="53" t="s">
        <v>137</v>
      </c>
      <c r="D72">
        <v>61.5</v>
      </c>
      <c r="E72">
        <v>0.74</v>
      </c>
      <c r="F72" s="53" t="s">
        <v>142</v>
      </c>
      <c r="G72">
        <v>47</v>
      </c>
      <c r="H72" s="53" t="s">
        <v>149</v>
      </c>
      <c r="I72">
        <v>15</v>
      </c>
      <c r="J72">
        <v>0.3</v>
      </c>
      <c r="K72">
        <v>25</v>
      </c>
      <c r="L72">
        <v>8</v>
      </c>
      <c r="M72">
        <v>15</v>
      </c>
      <c r="N72">
        <v>7.5</v>
      </c>
    </row>
    <row r="73" spans="1:14" x14ac:dyDescent="0.25">
      <c r="A73" s="52">
        <v>42807</v>
      </c>
      <c r="B73" s="53" t="s">
        <v>150</v>
      </c>
      <c r="C73" s="53" t="s">
        <v>140</v>
      </c>
      <c r="D73">
        <v>55.9</v>
      </c>
      <c r="E73">
        <v>0.87</v>
      </c>
      <c r="F73" s="53" t="s">
        <v>142</v>
      </c>
      <c r="G73">
        <v>48</v>
      </c>
      <c r="H73" s="53" t="s">
        <v>149</v>
      </c>
      <c r="I73">
        <v>15</v>
      </c>
      <c r="J73">
        <v>0.3</v>
      </c>
      <c r="K73">
        <v>23</v>
      </c>
      <c r="L73">
        <v>8</v>
      </c>
      <c r="M73">
        <v>15</v>
      </c>
      <c r="N73">
        <v>6.9</v>
      </c>
    </row>
    <row r="74" spans="1:14" x14ac:dyDescent="0.25">
      <c r="A74" s="52">
        <v>42808</v>
      </c>
      <c r="B74" s="53" t="s">
        <v>150</v>
      </c>
      <c r="C74" s="53" t="s">
        <v>141</v>
      </c>
      <c r="D74">
        <v>58.9</v>
      </c>
      <c r="E74">
        <v>0.87</v>
      </c>
      <c r="F74" s="53" t="s">
        <v>142</v>
      </c>
      <c r="G74">
        <v>35</v>
      </c>
      <c r="H74" s="53" t="s">
        <v>142</v>
      </c>
      <c r="I74">
        <v>10</v>
      </c>
      <c r="J74">
        <v>0.3</v>
      </c>
      <c r="K74">
        <v>23</v>
      </c>
      <c r="L74">
        <v>8</v>
      </c>
      <c r="M74">
        <v>10</v>
      </c>
      <c r="N74">
        <v>6.9</v>
      </c>
    </row>
    <row r="75" spans="1:14" x14ac:dyDescent="0.25">
      <c r="A75" s="52">
        <v>42809</v>
      </c>
      <c r="B75" s="53" t="s">
        <v>150</v>
      </c>
      <c r="C75" s="53" t="s">
        <v>143</v>
      </c>
      <c r="D75">
        <v>56.2</v>
      </c>
      <c r="E75">
        <v>0.83</v>
      </c>
      <c r="F75" s="53" t="s">
        <v>142</v>
      </c>
      <c r="G75">
        <v>30</v>
      </c>
      <c r="H75" s="53" t="s">
        <v>142</v>
      </c>
      <c r="I75">
        <v>10</v>
      </c>
      <c r="J75">
        <v>0.3</v>
      </c>
      <c r="K75">
        <v>24</v>
      </c>
      <c r="L75">
        <v>8</v>
      </c>
      <c r="M75">
        <v>10</v>
      </c>
      <c r="N75">
        <v>7.2</v>
      </c>
    </row>
    <row r="76" spans="1:14" x14ac:dyDescent="0.25">
      <c r="A76" s="52">
        <v>42810</v>
      </c>
      <c r="B76" s="53" t="s">
        <v>150</v>
      </c>
      <c r="C76" s="53" t="s">
        <v>144</v>
      </c>
      <c r="D76">
        <v>60.2</v>
      </c>
      <c r="E76">
        <v>0.83</v>
      </c>
      <c r="F76" s="53" t="s">
        <v>142</v>
      </c>
      <c r="G76">
        <v>39</v>
      </c>
      <c r="H76" s="53" t="s">
        <v>142</v>
      </c>
      <c r="I76">
        <v>10</v>
      </c>
      <c r="J76">
        <v>0.3</v>
      </c>
      <c r="K76">
        <v>24</v>
      </c>
      <c r="L76">
        <v>8</v>
      </c>
      <c r="M76">
        <v>10</v>
      </c>
      <c r="N76">
        <v>7.2</v>
      </c>
    </row>
    <row r="77" spans="1:14" x14ac:dyDescent="0.25">
      <c r="A77" s="52">
        <v>42811</v>
      </c>
      <c r="B77" s="53" t="s">
        <v>150</v>
      </c>
      <c r="C77" s="53" t="s">
        <v>145</v>
      </c>
      <c r="D77">
        <v>56.5</v>
      </c>
      <c r="E77">
        <v>0.77</v>
      </c>
      <c r="F77" s="53" t="s">
        <v>142</v>
      </c>
      <c r="G77">
        <v>50</v>
      </c>
      <c r="H77" s="53" t="s">
        <v>149</v>
      </c>
      <c r="I77">
        <v>15</v>
      </c>
      <c r="J77">
        <v>0.3</v>
      </c>
      <c r="K77">
        <v>25</v>
      </c>
      <c r="L77">
        <v>8</v>
      </c>
      <c r="M77">
        <v>15</v>
      </c>
      <c r="N77">
        <v>7.5</v>
      </c>
    </row>
    <row r="78" spans="1:14" x14ac:dyDescent="0.25">
      <c r="A78" s="52">
        <v>42812</v>
      </c>
      <c r="B78" s="53" t="s">
        <v>150</v>
      </c>
      <c r="C78" s="53" t="s">
        <v>146</v>
      </c>
      <c r="D78">
        <v>53.9</v>
      </c>
      <c r="E78">
        <v>0.83</v>
      </c>
      <c r="F78" s="53" t="s">
        <v>142</v>
      </c>
      <c r="G78">
        <v>32</v>
      </c>
      <c r="H78" s="53" t="s">
        <v>142</v>
      </c>
      <c r="I78">
        <v>10</v>
      </c>
      <c r="J78">
        <v>0.3</v>
      </c>
      <c r="K78">
        <v>23</v>
      </c>
      <c r="L78">
        <v>8</v>
      </c>
      <c r="M78">
        <v>10</v>
      </c>
      <c r="N78">
        <v>6.9</v>
      </c>
    </row>
    <row r="79" spans="1:14" x14ac:dyDescent="0.25">
      <c r="A79" s="52">
        <v>42813</v>
      </c>
      <c r="B79" s="53" t="s">
        <v>150</v>
      </c>
      <c r="C79" s="53" t="s">
        <v>137</v>
      </c>
      <c r="D79">
        <v>56.9</v>
      </c>
      <c r="E79">
        <v>0.83</v>
      </c>
      <c r="F79" s="53" t="s">
        <v>142</v>
      </c>
      <c r="G79">
        <v>38</v>
      </c>
      <c r="H79" s="53" t="s">
        <v>142</v>
      </c>
      <c r="I79">
        <v>10</v>
      </c>
      <c r="J79">
        <v>0.3</v>
      </c>
      <c r="K79">
        <v>23</v>
      </c>
      <c r="L79">
        <v>8</v>
      </c>
      <c r="M79">
        <v>10</v>
      </c>
      <c r="N79">
        <v>6.9</v>
      </c>
    </row>
    <row r="80" spans="1:14" x14ac:dyDescent="0.25">
      <c r="A80" s="52">
        <v>42814</v>
      </c>
      <c r="B80" s="53" t="s">
        <v>150</v>
      </c>
      <c r="C80" s="53" t="s">
        <v>140</v>
      </c>
      <c r="D80">
        <v>58.2</v>
      </c>
      <c r="E80">
        <v>0.77</v>
      </c>
      <c r="F80" s="53" t="s">
        <v>142</v>
      </c>
      <c r="G80">
        <v>33</v>
      </c>
      <c r="H80" s="53" t="s">
        <v>142</v>
      </c>
      <c r="I80">
        <v>10</v>
      </c>
      <c r="J80">
        <v>0.3</v>
      </c>
      <c r="K80">
        <v>24</v>
      </c>
      <c r="L80">
        <v>8</v>
      </c>
      <c r="M80">
        <v>10</v>
      </c>
      <c r="N80">
        <v>7.2</v>
      </c>
    </row>
    <row r="81" spans="1:14" x14ac:dyDescent="0.25">
      <c r="A81" s="52">
        <v>42815</v>
      </c>
      <c r="B81" s="53" t="s">
        <v>150</v>
      </c>
      <c r="C81" s="53" t="s">
        <v>141</v>
      </c>
      <c r="D81">
        <v>57.2</v>
      </c>
      <c r="E81">
        <v>0.83</v>
      </c>
      <c r="F81" s="53" t="s">
        <v>142</v>
      </c>
      <c r="G81">
        <v>36</v>
      </c>
      <c r="H81" s="53" t="s">
        <v>142</v>
      </c>
      <c r="I81">
        <v>10</v>
      </c>
      <c r="J81">
        <v>0.3</v>
      </c>
      <c r="K81">
        <v>24</v>
      </c>
      <c r="L81">
        <v>8</v>
      </c>
      <c r="M81">
        <v>10</v>
      </c>
      <c r="N81">
        <v>7.2</v>
      </c>
    </row>
    <row r="82" spans="1:14" x14ac:dyDescent="0.25">
      <c r="A82" s="52">
        <v>42816</v>
      </c>
      <c r="B82" s="53" t="s">
        <v>150</v>
      </c>
      <c r="C82" s="53" t="s">
        <v>143</v>
      </c>
      <c r="D82">
        <v>56.5</v>
      </c>
      <c r="E82">
        <v>0.74</v>
      </c>
      <c r="F82" s="53" t="s">
        <v>142</v>
      </c>
      <c r="G82">
        <v>38</v>
      </c>
      <c r="H82" s="53" t="s">
        <v>142</v>
      </c>
      <c r="I82">
        <v>10</v>
      </c>
      <c r="J82">
        <v>0.3</v>
      </c>
      <c r="K82">
        <v>25</v>
      </c>
      <c r="L82">
        <v>8</v>
      </c>
      <c r="M82">
        <v>10</v>
      </c>
      <c r="N82">
        <v>7.5</v>
      </c>
    </row>
    <row r="83" spans="1:14" x14ac:dyDescent="0.25">
      <c r="A83" s="52">
        <v>42817</v>
      </c>
      <c r="B83" s="53" t="s">
        <v>150</v>
      </c>
      <c r="C83" s="53" t="s">
        <v>144</v>
      </c>
      <c r="D83">
        <v>55.9</v>
      </c>
      <c r="E83">
        <v>0.87</v>
      </c>
      <c r="F83" s="53" t="s">
        <v>142</v>
      </c>
      <c r="G83">
        <v>35</v>
      </c>
      <c r="H83" s="53" t="s">
        <v>142</v>
      </c>
      <c r="I83">
        <v>10</v>
      </c>
      <c r="J83">
        <v>0.3</v>
      </c>
      <c r="K83">
        <v>23</v>
      </c>
      <c r="L83">
        <v>8</v>
      </c>
      <c r="M83">
        <v>10</v>
      </c>
      <c r="N83">
        <v>6.9</v>
      </c>
    </row>
    <row r="84" spans="1:14" x14ac:dyDescent="0.25">
      <c r="A84" s="52">
        <v>42818</v>
      </c>
      <c r="B84" s="53" t="s">
        <v>150</v>
      </c>
      <c r="C84" s="53" t="s">
        <v>145</v>
      </c>
      <c r="D84">
        <v>56.9</v>
      </c>
      <c r="E84">
        <v>0.83</v>
      </c>
      <c r="F84" s="53" t="s">
        <v>142</v>
      </c>
      <c r="G84">
        <v>41</v>
      </c>
      <c r="H84" s="53" t="s">
        <v>149</v>
      </c>
      <c r="I84">
        <v>15</v>
      </c>
      <c r="J84">
        <v>0.3</v>
      </c>
      <c r="K84">
        <v>23</v>
      </c>
      <c r="L84">
        <v>8</v>
      </c>
      <c r="M84">
        <v>15</v>
      </c>
      <c r="N84">
        <v>6.9</v>
      </c>
    </row>
    <row r="85" spans="1:14" x14ac:dyDescent="0.25">
      <c r="A85" s="52">
        <v>42819</v>
      </c>
      <c r="B85" s="53" t="s">
        <v>150</v>
      </c>
      <c r="C85" s="53" t="s">
        <v>146</v>
      </c>
      <c r="D85">
        <v>58.2</v>
      </c>
      <c r="E85">
        <v>0.8</v>
      </c>
      <c r="F85" s="53" t="s">
        <v>142</v>
      </c>
      <c r="G85">
        <v>50</v>
      </c>
      <c r="H85" s="53" t="s">
        <v>149</v>
      </c>
      <c r="I85">
        <v>15</v>
      </c>
      <c r="J85">
        <v>0.3</v>
      </c>
      <c r="K85">
        <v>24</v>
      </c>
      <c r="L85">
        <v>8</v>
      </c>
      <c r="M85">
        <v>15</v>
      </c>
      <c r="N85">
        <v>7.2</v>
      </c>
    </row>
    <row r="86" spans="1:14" x14ac:dyDescent="0.25">
      <c r="A86" s="52">
        <v>42820</v>
      </c>
      <c r="B86" s="53" t="s">
        <v>150</v>
      </c>
      <c r="C86" s="53" t="s">
        <v>137</v>
      </c>
      <c r="D86">
        <v>59.5</v>
      </c>
      <c r="E86">
        <v>0.77</v>
      </c>
      <c r="F86" s="53" t="s">
        <v>142</v>
      </c>
      <c r="G86">
        <v>39</v>
      </c>
      <c r="H86" s="53" t="s">
        <v>142</v>
      </c>
      <c r="I86">
        <v>10</v>
      </c>
      <c r="J86">
        <v>0.3</v>
      </c>
      <c r="K86">
        <v>25</v>
      </c>
      <c r="L86">
        <v>8</v>
      </c>
      <c r="M86">
        <v>10</v>
      </c>
      <c r="N86">
        <v>7.5</v>
      </c>
    </row>
    <row r="87" spans="1:14" x14ac:dyDescent="0.25">
      <c r="A87" s="52">
        <v>42821</v>
      </c>
      <c r="B87" s="53" t="s">
        <v>150</v>
      </c>
      <c r="C87" s="53" t="s">
        <v>140</v>
      </c>
      <c r="D87">
        <v>60.5</v>
      </c>
      <c r="E87">
        <v>0.74</v>
      </c>
      <c r="F87" s="53" t="s">
        <v>142</v>
      </c>
      <c r="G87">
        <v>30</v>
      </c>
      <c r="H87" s="53" t="s">
        <v>142</v>
      </c>
      <c r="I87">
        <v>10</v>
      </c>
      <c r="J87">
        <v>0.3</v>
      </c>
      <c r="K87">
        <v>25</v>
      </c>
      <c r="L87">
        <v>8</v>
      </c>
      <c r="M87">
        <v>10</v>
      </c>
      <c r="N87">
        <v>7.5</v>
      </c>
    </row>
    <row r="88" spans="1:14" x14ac:dyDescent="0.25">
      <c r="A88" s="52">
        <v>42822</v>
      </c>
      <c r="B88" s="53" t="s">
        <v>150</v>
      </c>
      <c r="C88" s="53" t="s">
        <v>141</v>
      </c>
      <c r="D88">
        <v>55.9</v>
      </c>
      <c r="E88">
        <v>0.83</v>
      </c>
      <c r="F88" s="53" t="s">
        <v>142</v>
      </c>
      <c r="G88">
        <v>48</v>
      </c>
      <c r="H88" s="53" t="s">
        <v>149</v>
      </c>
      <c r="I88">
        <v>15</v>
      </c>
      <c r="J88">
        <v>0.3</v>
      </c>
      <c r="K88">
        <v>23</v>
      </c>
      <c r="L88">
        <v>8</v>
      </c>
      <c r="M88">
        <v>15</v>
      </c>
      <c r="N88">
        <v>6.9</v>
      </c>
    </row>
    <row r="89" spans="1:14" x14ac:dyDescent="0.25">
      <c r="A89" s="52">
        <v>42823</v>
      </c>
      <c r="B89" s="53" t="s">
        <v>150</v>
      </c>
      <c r="C89" s="53" t="s">
        <v>143</v>
      </c>
      <c r="D89">
        <v>57.2</v>
      </c>
      <c r="E89">
        <v>0.83</v>
      </c>
      <c r="F89" s="53" t="s">
        <v>142</v>
      </c>
      <c r="G89">
        <v>39</v>
      </c>
      <c r="H89" s="53" t="s">
        <v>142</v>
      </c>
      <c r="I89">
        <v>10</v>
      </c>
      <c r="J89">
        <v>0.3</v>
      </c>
      <c r="K89">
        <v>24</v>
      </c>
      <c r="L89">
        <v>8</v>
      </c>
      <c r="M89">
        <v>10</v>
      </c>
      <c r="N89">
        <v>7.2</v>
      </c>
    </row>
    <row r="90" spans="1:14" x14ac:dyDescent="0.25">
      <c r="A90" s="52">
        <v>42824</v>
      </c>
      <c r="B90" s="53" t="s">
        <v>150</v>
      </c>
      <c r="C90" s="53" t="s">
        <v>144</v>
      </c>
      <c r="D90">
        <v>55.2</v>
      </c>
      <c r="E90">
        <v>0.8</v>
      </c>
      <c r="F90" s="53" t="s">
        <v>142</v>
      </c>
      <c r="G90">
        <v>47</v>
      </c>
      <c r="H90" s="53" t="s">
        <v>149</v>
      </c>
      <c r="I90">
        <v>15</v>
      </c>
      <c r="J90">
        <v>0.3</v>
      </c>
      <c r="K90">
        <v>24</v>
      </c>
      <c r="L90">
        <v>8</v>
      </c>
      <c r="M90">
        <v>15</v>
      </c>
      <c r="N90">
        <v>7.2</v>
      </c>
    </row>
    <row r="91" spans="1:14" x14ac:dyDescent="0.25">
      <c r="A91" s="52">
        <v>42825</v>
      </c>
      <c r="B91" s="53" t="s">
        <v>150</v>
      </c>
      <c r="C91" s="53" t="s">
        <v>145</v>
      </c>
      <c r="D91">
        <v>58.5</v>
      </c>
      <c r="E91">
        <v>0.77</v>
      </c>
      <c r="F91" s="53" t="s">
        <v>142</v>
      </c>
      <c r="G91">
        <v>48</v>
      </c>
      <c r="H91" s="53" t="s">
        <v>149</v>
      </c>
      <c r="I91">
        <v>15</v>
      </c>
      <c r="J91">
        <v>0.3</v>
      </c>
      <c r="K91">
        <v>25</v>
      </c>
      <c r="L91">
        <v>8</v>
      </c>
      <c r="M91">
        <v>15</v>
      </c>
      <c r="N91">
        <v>7.5</v>
      </c>
    </row>
    <row r="92" spans="1:14" x14ac:dyDescent="0.25">
      <c r="A92" s="52">
        <v>42826</v>
      </c>
      <c r="B92" s="53" t="s">
        <v>151</v>
      </c>
      <c r="C92" s="53" t="s">
        <v>146</v>
      </c>
      <c r="D92">
        <v>57.5</v>
      </c>
      <c r="E92">
        <v>0.8</v>
      </c>
      <c r="F92" s="53" t="s">
        <v>142</v>
      </c>
      <c r="G92">
        <v>33</v>
      </c>
      <c r="H92" s="53" t="s">
        <v>142</v>
      </c>
      <c r="I92">
        <v>10</v>
      </c>
      <c r="J92">
        <v>0.3</v>
      </c>
      <c r="K92">
        <v>25</v>
      </c>
      <c r="L92">
        <v>8</v>
      </c>
      <c r="M92">
        <v>10</v>
      </c>
      <c r="N92">
        <v>7.5</v>
      </c>
    </row>
    <row r="93" spans="1:14" x14ac:dyDescent="0.25">
      <c r="A93" s="52">
        <v>42827</v>
      </c>
      <c r="B93" s="53" t="s">
        <v>151</v>
      </c>
      <c r="C93" s="53" t="s">
        <v>137</v>
      </c>
      <c r="D93">
        <v>65.8</v>
      </c>
      <c r="E93">
        <v>0.74</v>
      </c>
      <c r="F93" s="53" t="s">
        <v>142</v>
      </c>
      <c r="G93">
        <v>47</v>
      </c>
      <c r="H93" s="53" t="s">
        <v>149</v>
      </c>
      <c r="I93">
        <v>15</v>
      </c>
      <c r="J93">
        <v>0.3</v>
      </c>
      <c r="K93">
        <v>26</v>
      </c>
      <c r="L93">
        <v>8</v>
      </c>
      <c r="M93">
        <v>15</v>
      </c>
      <c r="N93">
        <v>7.8</v>
      </c>
    </row>
    <row r="94" spans="1:14" x14ac:dyDescent="0.25">
      <c r="A94" s="52">
        <v>42828</v>
      </c>
      <c r="B94" s="53" t="s">
        <v>151</v>
      </c>
      <c r="C94" s="53" t="s">
        <v>140</v>
      </c>
      <c r="D94">
        <v>60.8</v>
      </c>
      <c r="E94">
        <v>0.74</v>
      </c>
      <c r="F94" s="53" t="s">
        <v>142</v>
      </c>
      <c r="G94">
        <v>51</v>
      </c>
      <c r="H94" s="53" t="s">
        <v>149</v>
      </c>
      <c r="I94">
        <v>15</v>
      </c>
      <c r="J94">
        <v>0.3</v>
      </c>
      <c r="K94">
        <v>26</v>
      </c>
      <c r="L94">
        <v>8</v>
      </c>
      <c r="M94">
        <v>15</v>
      </c>
      <c r="N94">
        <v>7.8</v>
      </c>
    </row>
    <row r="95" spans="1:14" x14ac:dyDescent="0.25">
      <c r="A95" s="52">
        <v>42829</v>
      </c>
      <c r="B95" s="53" t="s">
        <v>151</v>
      </c>
      <c r="C95" s="53" t="s">
        <v>141</v>
      </c>
      <c r="D95">
        <v>62.1</v>
      </c>
      <c r="E95">
        <v>0.71</v>
      </c>
      <c r="F95" s="53" t="s">
        <v>142</v>
      </c>
      <c r="G95">
        <v>31</v>
      </c>
      <c r="H95" s="53" t="s">
        <v>142</v>
      </c>
      <c r="I95">
        <v>10</v>
      </c>
      <c r="J95">
        <v>0.3</v>
      </c>
      <c r="K95">
        <v>27</v>
      </c>
      <c r="L95">
        <v>8</v>
      </c>
      <c r="M95">
        <v>20</v>
      </c>
      <c r="N95">
        <v>8.1</v>
      </c>
    </row>
    <row r="96" spans="1:14" x14ac:dyDescent="0.25">
      <c r="A96" s="52">
        <v>42830</v>
      </c>
      <c r="B96" s="53" t="s">
        <v>151</v>
      </c>
      <c r="C96" s="53" t="s">
        <v>143</v>
      </c>
      <c r="D96">
        <v>64.400000000000006</v>
      </c>
      <c r="E96">
        <v>0.71</v>
      </c>
      <c r="F96" s="53" t="s">
        <v>142</v>
      </c>
      <c r="G96">
        <v>33</v>
      </c>
      <c r="H96" s="53" t="s">
        <v>142</v>
      </c>
      <c r="I96">
        <v>10</v>
      </c>
      <c r="J96">
        <v>0.3</v>
      </c>
      <c r="K96">
        <v>28</v>
      </c>
      <c r="L96">
        <v>8</v>
      </c>
      <c r="M96">
        <v>20</v>
      </c>
      <c r="N96">
        <v>8.4</v>
      </c>
    </row>
    <row r="97" spans="1:14" x14ac:dyDescent="0.25">
      <c r="A97" s="52">
        <v>42831</v>
      </c>
      <c r="B97" s="53" t="s">
        <v>151</v>
      </c>
      <c r="C97" s="53" t="s">
        <v>144</v>
      </c>
      <c r="D97">
        <v>57.5</v>
      </c>
      <c r="E97">
        <v>0.8</v>
      </c>
      <c r="F97" s="53" t="s">
        <v>142</v>
      </c>
      <c r="G97">
        <v>31</v>
      </c>
      <c r="H97" s="53" t="s">
        <v>142</v>
      </c>
      <c r="I97">
        <v>10</v>
      </c>
      <c r="J97">
        <v>0.3</v>
      </c>
      <c r="K97">
        <v>25</v>
      </c>
      <c r="L97">
        <v>8</v>
      </c>
      <c r="M97">
        <v>10</v>
      </c>
      <c r="N97">
        <v>7.5</v>
      </c>
    </row>
    <row r="98" spans="1:14" x14ac:dyDescent="0.25">
      <c r="A98" s="52">
        <v>42832</v>
      </c>
      <c r="B98" s="53" t="s">
        <v>151</v>
      </c>
      <c r="C98" s="53" t="s">
        <v>145</v>
      </c>
      <c r="D98">
        <v>59.8</v>
      </c>
      <c r="E98">
        <v>0.74</v>
      </c>
      <c r="F98" s="53" t="s">
        <v>142</v>
      </c>
      <c r="G98">
        <v>44</v>
      </c>
      <c r="H98" s="53" t="s">
        <v>149</v>
      </c>
      <c r="I98">
        <v>15</v>
      </c>
      <c r="J98">
        <v>0.3</v>
      </c>
      <c r="K98">
        <v>26</v>
      </c>
      <c r="L98">
        <v>8</v>
      </c>
      <c r="M98">
        <v>15</v>
      </c>
      <c r="N98">
        <v>7.8</v>
      </c>
    </row>
    <row r="99" spans="1:14" x14ac:dyDescent="0.25">
      <c r="A99" s="52">
        <v>42833</v>
      </c>
      <c r="B99" s="53" t="s">
        <v>151</v>
      </c>
      <c r="C99" s="53" t="s">
        <v>146</v>
      </c>
      <c r="D99">
        <v>63.8</v>
      </c>
      <c r="E99">
        <v>0.74</v>
      </c>
      <c r="F99" s="53" t="s">
        <v>142</v>
      </c>
      <c r="G99">
        <v>37</v>
      </c>
      <c r="H99" s="53" t="s">
        <v>142</v>
      </c>
      <c r="I99">
        <v>10</v>
      </c>
      <c r="J99">
        <v>0.3</v>
      </c>
      <c r="K99">
        <v>26</v>
      </c>
      <c r="L99">
        <v>8</v>
      </c>
      <c r="M99">
        <v>10</v>
      </c>
      <c r="N99">
        <v>7.8</v>
      </c>
    </row>
    <row r="100" spans="1:14" x14ac:dyDescent="0.25">
      <c r="A100" s="52">
        <v>42834</v>
      </c>
      <c r="B100" s="53" t="s">
        <v>151</v>
      </c>
      <c r="C100" s="53" t="s">
        <v>137</v>
      </c>
      <c r="D100">
        <v>63.1</v>
      </c>
      <c r="E100">
        <v>0</v>
      </c>
      <c r="F100" s="53" t="s">
        <v>147</v>
      </c>
      <c r="G100">
        <v>52</v>
      </c>
      <c r="H100" s="53" t="s">
        <v>149</v>
      </c>
      <c r="I100">
        <v>15</v>
      </c>
      <c r="J100">
        <v>0.3</v>
      </c>
      <c r="K100">
        <v>27</v>
      </c>
      <c r="L100">
        <v>8</v>
      </c>
      <c r="M100">
        <v>25</v>
      </c>
      <c r="N100">
        <v>8.1</v>
      </c>
    </row>
    <row r="101" spans="1:14" x14ac:dyDescent="0.25">
      <c r="A101" s="52">
        <v>42835</v>
      </c>
      <c r="B101" s="53" t="s">
        <v>151</v>
      </c>
      <c r="C101" s="53" t="s">
        <v>140</v>
      </c>
      <c r="D101">
        <v>58.5</v>
      </c>
      <c r="E101">
        <v>0.74</v>
      </c>
      <c r="F101" s="53" t="s">
        <v>142</v>
      </c>
      <c r="G101">
        <v>48</v>
      </c>
      <c r="H101" s="53" t="s">
        <v>149</v>
      </c>
      <c r="I101">
        <v>15</v>
      </c>
      <c r="J101">
        <v>0.3</v>
      </c>
      <c r="K101">
        <v>25</v>
      </c>
      <c r="L101">
        <v>8</v>
      </c>
      <c r="M101">
        <v>15</v>
      </c>
      <c r="N101">
        <v>7.5</v>
      </c>
    </row>
    <row r="102" spans="1:14" x14ac:dyDescent="0.25">
      <c r="A102" s="52">
        <v>42836</v>
      </c>
      <c r="B102" s="53" t="s">
        <v>151</v>
      </c>
      <c r="C102" s="53" t="s">
        <v>141</v>
      </c>
      <c r="D102">
        <v>60.8</v>
      </c>
      <c r="E102">
        <v>0.74</v>
      </c>
      <c r="F102" s="53" t="s">
        <v>142</v>
      </c>
      <c r="G102">
        <v>34</v>
      </c>
      <c r="H102" s="53" t="s">
        <v>142</v>
      </c>
      <c r="I102">
        <v>10</v>
      </c>
      <c r="J102">
        <v>0.3</v>
      </c>
      <c r="K102">
        <v>26</v>
      </c>
      <c r="L102">
        <v>8</v>
      </c>
      <c r="M102">
        <v>10</v>
      </c>
      <c r="N102">
        <v>7.8</v>
      </c>
    </row>
    <row r="103" spans="1:14" x14ac:dyDescent="0.25">
      <c r="A103" s="52">
        <v>42837</v>
      </c>
      <c r="B103" s="53" t="s">
        <v>151</v>
      </c>
      <c r="C103" s="53" t="s">
        <v>143</v>
      </c>
      <c r="D103">
        <v>66.099999999999994</v>
      </c>
      <c r="E103">
        <v>0.74</v>
      </c>
      <c r="F103" s="53" t="s">
        <v>142</v>
      </c>
      <c r="G103">
        <v>30</v>
      </c>
      <c r="H103" s="53" t="s">
        <v>142</v>
      </c>
      <c r="I103">
        <v>10</v>
      </c>
      <c r="J103">
        <v>0.3</v>
      </c>
      <c r="K103">
        <v>27</v>
      </c>
      <c r="L103">
        <v>8</v>
      </c>
      <c r="M103">
        <v>20</v>
      </c>
      <c r="N103">
        <v>8.1</v>
      </c>
    </row>
    <row r="104" spans="1:14" x14ac:dyDescent="0.25">
      <c r="A104" s="52">
        <v>42838</v>
      </c>
      <c r="B104" s="53" t="s">
        <v>151</v>
      </c>
      <c r="C104" s="53" t="s">
        <v>144</v>
      </c>
      <c r="D104">
        <v>61.1</v>
      </c>
      <c r="E104">
        <v>0</v>
      </c>
      <c r="F104" s="53" t="s">
        <v>147</v>
      </c>
      <c r="G104">
        <v>46</v>
      </c>
      <c r="H104" s="53" t="s">
        <v>149</v>
      </c>
      <c r="I104">
        <v>15</v>
      </c>
      <c r="J104">
        <v>0.3</v>
      </c>
      <c r="K104">
        <v>27</v>
      </c>
      <c r="L104">
        <v>8</v>
      </c>
      <c r="M104">
        <v>25</v>
      </c>
      <c r="N104">
        <v>8.1</v>
      </c>
    </row>
    <row r="105" spans="1:14" x14ac:dyDescent="0.25">
      <c r="A105" s="52">
        <v>42839</v>
      </c>
      <c r="B105" s="53" t="s">
        <v>151</v>
      </c>
      <c r="C105" s="53" t="s">
        <v>145</v>
      </c>
      <c r="D105">
        <v>61.5</v>
      </c>
      <c r="E105">
        <v>0.77</v>
      </c>
      <c r="F105" s="53" t="s">
        <v>142</v>
      </c>
      <c r="G105">
        <v>49</v>
      </c>
      <c r="H105" s="53" t="s">
        <v>149</v>
      </c>
      <c r="I105">
        <v>15</v>
      </c>
      <c r="J105">
        <v>0.3</v>
      </c>
      <c r="K105">
        <v>25</v>
      </c>
      <c r="L105">
        <v>8</v>
      </c>
      <c r="M105">
        <v>15</v>
      </c>
      <c r="N105">
        <v>7.5</v>
      </c>
    </row>
    <row r="106" spans="1:14" x14ac:dyDescent="0.25">
      <c r="A106" s="52">
        <v>42840</v>
      </c>
      <c r="B106" s="53" t="s">
        <v>151</v>
      </c>
      <c r="C106" s="53" t="s">
        <v>146</v>
      </c>
      <c r="D106">
        <v>65.8</v>
      </c>
      <c r="E106">
        <v>0.74</v>
      </c>
      <c r="F106" s="53" t="s">
        <v>142</v>
      </c>
      <c r="G106">
        <v>41</v>
      </c>
      <c r="H106" s="53" t="s">
        <v>149</v>
      </c>
      <c r="I106">
        <v>15</v>
      </c>
      <c r="J106">
        <v>0.3</v>
      </c>
      <c r="K106">
        <v>26</v>
      </c>
      <c r="L106">
        <v>8</v>
      </c>
      <c r="M106">
        <v>15</v>
      </c>
      <c r="N106">
        <v>7.8</v>
      </c>
    </row>
    <row r="107" spans="1:14" x14ac:dyDescent="0.25">
      <c r="A107" s="52">
        <v>42841</v>
      </c>
      <c r="B107" s="53" t="s">
        <v>151</v>
      </c>
      <c r="C107" s="53" t="s">
        <v>137</v>
      </c>
      <c r="D107">
        <v>65.099999999999994</v>
      </c>
      <c r="E107">
        <v>0</v>
      </c>
      <c r="F107" s="53" t="s">
        <v>147</v>
      </c>
      <c r="G107">
        <v>43</v>
      </c>
      <c r="H107" s="53" t="s">
        <v>149</v>
      </c>
      <c r="I107">
        <v>15</v>
      </c>
      <c r="J107">
        <v>0.3</v>
      </c>
      <c r="K107">
        <v>27</v>
      </c>
      <c r="L107">
        <v>8</v>
      </c>
      <c r="M107">
        <v>25</v>
      </c>
      <c r="N107">
        <v>8.1</v>
      </c>
    </row>
    <row r="108" spans="1:14" x14ac:dyDescent="0.25">
      <c r="A108" s="52">
        <v>42842</v>
      </c>
      <c r="B108" s="53" t="s">
        <v>151</v>
      </c>
      <c r="C108" s="53" t="s">
        <v>140</v>
      </c>
      <c r="D108">
        <v>64.099999999999994</v>
      </c>
      <c r="E108">
        <v>0.71</v>
      </c>
      <c r="F108" s="53" t="s">
        <v>142</v>
      </c>
      <c r="G108">
        <v>56</v>
      </c>
      <c r="H108" s="53" t="s">
        <v>149</v>
      </c>
      <c r="I108">
        <v>15</v>
      </c>
      <c r="J108">
        <v>0.3</v>
      </c>
      <c r="K108">
        <v>27</v>
      </c>
      <c r="L108">
        <v>8</v>
      </c>
      <c r="M108">
        <v>25</v>
      </c>
      <c r="N108">
        <v>8.1</v>
      </c>
    </row>
    <row r="109" spans="1:14" x14ac:dyDescent="0.25">
      <c r="A109" s="52">
        <v>42843</v>
      </c>
      <c r="B109" s="53" t="s">
        <v>151</v>
      </c>
      <c r="C109" s="53" t="s">
        <v>141</v>
      </c>
      <c r="D109">
        <v>62.5</v>
      </c>
      <c r="E109">
        <v>0.74</v>
      </c>
      <c r="F109" s="53" t="s">
        <v>142</v>
      </c>
      <c r="G109">
        <v>31</v>
      </c>
      <c r="H109" s="53" t="s">
        <v>142</v>
      </c>
      <c r="I109">
        <v>10</v>
      </c>
      <c r="J109">
        <v>0.3</v>
      </c>
      <c r="K109">
        <v>25</v>
      </c>
      <c r="L109">
        <v>8</v>
      </c>
      <c r="M109">
        <v>10</v>
      </c>
      <c r="N109">
        <v>7.5</v>
      </c>
    </row>
    <row r="110" spans="1:14" x14ac:dyDescent="0.25">
      <c r="A110" s="52">
        <v>42844</v>
      </c>
      <c r="B110" s="53" t="s">
        <v>151</v>
      </c>
      <c r="C110" s="53" t="s">
        <v>143</v>
      </c>
      <c r="D110">
        <v>59.8</v>
      </c>
      <c r="E110">
        <v>0.77</v>
      </c>
      <c r="F110" s="53" t="s">
        <v>142</v>
      </c>
      <c r="G110">
        <v>53</v>
      </c>
      <c r="H110" s="53" t="s">
        <v>149</v>
      </c>
      <c r="I110">
        <v>15</v>
      </c>
      <c r="J110">
        <v>0.3</v>
      </c>
      <c r="K110">
        <v>26</v>
      </c>
      <c r="L110">
        <v>8</v>
      </c>
      <c r="M110">
        <v>15</v>
      </c>
      <c r="N110">
        <v>7.8</v>
      </c>
    </row>
    <row r="111" spans="1:14" x14ac:dyDescent="0.25">
      <c r="A111" s="52">
        <v>42845</v>
      </c>
      <c r="B111" s="53" t="s">
        <v>151</v>
      </c>
      <c r="C111" s="53" t="s">
        <v>144</v>
      </c>
      <c r="D111">
        <v>68.099999999999994</v>
      </c>
      <c r="E111">
        <v>0</v>
      </c>
      <c r="F111" s="53" t="s">
        <v>147</v>
      </c>
      <c r="G111">
        <v>42</v>
      </c>
      <c r="H111" s="53" t="s">
        <v>149</v>
      </c>
      <c r="I111">
        <v>15</v>
      </c>
      <c r="J111">
        <v>0.3</v>
      </c>
      <c r="K111">
        <v>27</v>
      </c>
      <c r="L111">
        <v>8</v>
      </c>
      <c r="M111">
        <v>25</v>
      </c>
      <c r="N111">
        <v>8.1</v>
      </c>
    </row>
    <row r="112" spans="1:14" x14ac:dyDescent="0.25">
      <c r="A112" s="52">
        <v>42846</v>
      </c>
      <c r="B112" s="53" t="s">
        <v>151</v>
      </c>
      <c r="C112" s="53" t="s">
        <v>145</v>
      </c>
      <c r="D112">
        <v>67.099999999999994</v>
      </c>
      <c r="E112">
        <v>0.74</v>
      </c>
      <c r="F112" s="53" t="s">
        <v>142</v>
      </c>
      <c r="G112">
        <v>48</v>
      </c>
      <c r="H112" s="53" t="s">
        <v>149</v>
      </c>
      <c r="I112">
        <v>15</v>
      </c>
      <c r="J112">
        <v>0.3</v>
      </c>
      <c r="K112">
        <v>27</v>
      </c>
      <c r="L112">
        <v>8</v>
      </c>
      <c r="M112">
        <v>25</v>
      </c>
      <c r="N112">
        <v>8.1</v>
      </c>
    </row>
    <row r="113" spans="1:14" x14ac:dyDescent="0.25">
      <c r="A113" s="52">
        <v>42847</v>
      </c>
      <c r="B113" s="53" t="s">
        <v>151</v>
      </c>
      <c r="C113" s="53" t="s">
        <v>146</v>
      </c>
      <c r="D113">
        <v>57.5</v>
      </c>
      <c r="E113">
        <v>0.77</v>
      </c>
      <c r="F113" s="53" t="s">
        <v>142</v>
      </c>
      <c r="G113">
        <v>47</v>
      </c>
      <c r="H113" s="53" t="s">
        <v>149</v>
      </c>
      <c r="I113">
        <v>15</v>
      </c>
      <c r="J113">
        <v>0.3</v>
      </c>
      <c r="K113">
        <v>25</v>
      </c>
      <c r="L113">
        <v>8</v>
      </c>
      <c r="M113">
        <v>15</v>
      </c>
      <c r="N113">
        <v>7.5</v>
      </c>
    </row>
    <row r="114" spans="1:14" x14ac:dyDescent="0.25">
      <c r="A114" s="52">
        <v>42848</v>
      </c>
      <c r="B114" s="53" t="s">
        <v>151</v>
      </c>
      <c r="C114" s="53" t="s">
        <v>137</v>
      </c>
      <c r="D114">
        <v>60.8</v>
      </c>
      <c r="E114">
        <v>0.77</v>
      </c>
      <c r="F114" s="53" t="s">
        <v>142</v>
      </c>
      <c r="G114">
        <v>50</v>
      </c>
      <c r="H114" s="53" t="s">
        <v>149</v>
      </c>
      <c r="I114">
        <v>15</v>
      </c>
      <c r="J114">
        <v>0.3</v>
      </c>
      <c r="K114">
        <v>26</v>
      </c>
      <c r="L114">
        <v>8</v>
      </c>
      <c r="M114">
        <v>15</v>
      </c>
      <c r="N114">
        <v>7.8</v>
      </c>
    </row>
    <row r="115" spans="1:14" x14ac:dyDescent="0.25">
      <c r="A115" s="52">
        <v>42849</v>
      </c>
      <c r="B115" s="53" t="s">
        <v>151</v>
      </c>
      <c r="C115" s="53" t="s">
        <v>140</v>
      </c>
      <c r="D115">
        <v>65.099999999999994</v>
      </c>
      <c r="E115">
        <v>0</v>
      </c>
      <c r="F115" s="53" t="s">
        <v>147</v>
      </c>
      <c r="G115">
        <v>48</v>
      </c>
      <c r="H115" s="53" t="s">
        <v>149</v>
      </c>
      <c r="I115">
        <v>15</v>
      </c>
      <c r="J115">
        <v>0.3</v>
      </c>
      <c r="K115">
        <v>27</v>
      </c>
      <c r="L115">
        <v>8</v>
      </c>
      <c r="M115">
        <v>25</v>
      </c>
      <c r="N115">
        <v>8.1</v>
      </c>
    </row>
    <row r="116" spans="1:14" x14ac:dyDescent="0.25">
      <c r="A116" s="52">
        <v>42850</v>
      </c>
      <c r="B116" s="53" t="s">
        <v>151</v>
      </c>
      <c r="C116" s="53" t="s">
        <v>141</v>
      </c>
      <c r="D116">
        <v>65.099999999999994</v>
      </c>
      <c r="E116">
        <v>0.71</v>
      </c>
      <c r="F116" s="53" t="s">
        <v>142</v>
      </c>
      <c r="G116">
        <v>37</v>
      </c>
      <c r="H116" s="53" t="s">
        <v>142</v>
      </c>
      <c r="I116">
        <v>10</v>
      </c>
      <c r="J116">
        <v>0.3</v>
      </c>
      <c r="K116">
        <v>27</v>
      </c>
      <c r="L116">
        <v>8</v>
      </c>
      <c r="M116">
        <v>20</v>
      </c>
      <c r="N116">
        <v>8.1</v>
      </c>
    </row>
    <row r="117" spans="1:14" x14ac:dyDescent="0.25">
      <c r="A117" s="52">
        <v>42851</v>
      </c>
      <c r="B117" s="53" t="s">
        <v>151</v>
      </c>
      <c r="C117" s="53" t="s">
        <v>143</v>
      </c>
      <c r="D117">
        <v>62.5</v>
      </c>
      <c r="E117">
        <v>0.8</v>
      </c>
      <c r="F117" s="53" t="s">
        <v>142</v>
      </c>
      <c r="G117">
        <v>48</v>
      </c>
      <c r="H117" s="53" t="s">
        <v>149</v>
      </c>
      <c r="I117">
        <v>15</v>
      </c>
      <c r="J117">
        <v>0.3</v>
      </c>
      <c r="K117">
        <v>25</v>
      </c>
      <c r="L117">
        <v>8</v>
      </c>
      <c r="M117">
        <v>15</v>
      </c>
      <c r="N117">
        <v>7.5</v>
      </c>
    </row>
    <row r="118" spans="1:14" x14ac:dyDescent="0.25">
      <c r="A118" s="52">
        <v>42852</v>
      </c>
      <c r="B118" s="53" t="s">
        <v>151</v>
      </c>
      <c r="C118" s="53" t="s">
        <v>144</v>
      </c>
      <c r="D118">
        <v>63.5</v>
      </c>
      <c r="E118">
        <v>0.77</v>
      </c>
      <c r="F118" s="53" t="s">
        <v>142</v>
      </c>
      <c r="G118">
        <v>50</v>
      </c>
      <c r="H118" s="53" t="s">
        <v>149</v>
      </c>
      <c r="I118">
        <v>15</v>
      </c>
      <c r="J118">
        <v>0.3</v>
      </c>
      <c r="K118">
        <v>25</v>
      </c>
      <c r="L118">
        <v>8</v>
      </c>
      <c r="M118">
        <v>15</v>
      </c>
      <c r="N118">
        <v>7.5</v>
      </c>
    </row>
    <row r="119" spans="1:14" x14ac:dyDescent="0.25">
      <c r="A119" s="52">
        <v>42853</v>
      </c>
      <c r="B119" s="53" t="s">
        <v>151</v>
      </c>
      <c r="C119" s="53" t="s">
        <v>145</v>
      </c>
      <c r="D119">
        <v>58.8</v>
      </c>
      <c r="E119">
        <v>0.74</v>
      </c>
      <c r="F119" s="53" t="s">
        <v>142</v>
      </c>
      <c r="G119">
        <v>32</v>
      </c>
      <c r="H119" s="53" t="s">
        <v>142</v>
      </c>
      <c r="I119">
        <v>10</v>
      </c>
      <c r="J119">
        <v>0.3</v>
      </c>
      <c r="K119">
        <v>26</v>
      </c>
      <c r="L119">
        <v>8</v>
      </c>
      <c r="M119">
        <v>10</v>
      </c>
      <c r="N119">
        <v>7.8</v>
      </c>
    </row>
    <row r="120" spans="1:14" x14ac:dyDescent="0.25">
      <c r="A120" s="52">
        <v>42854</v>
      </c>
      <c r="B120" s="53" t="s">
        <v>151</v>
      </c>
      <c r="C120" s="53" t="s">
        <v>146</v>
      </c>
      <c r="D120">
        <v>65.099999999999994</v>
      </c>
      <c r="E120">
        <v>0.71</v>
      </c>
      <c r="F120" s="53" t="s">
        <v>142</v>
      </c>
      <c r="G120">
        <v>32</v>
      </c>
      <c r="H120" s="53" t="s">
        <v>142</v>
      </c>
      <c r="I120">
        <v>10</v>
      </c>
      <c r="J120">
        <v>0.3</v>
      </c>
      <c r="K120">
        <v>27</v>
      </c>
      <c r="L120">
        <v>8</v>
      </c>
      <c r="M120">
        <v>20</v>
      </c>
      <c r="N120">
        <v>8.1</v>
      </c>
    </row>
    <row r="121" spans="1:14" x14ac:dyDescent="0.25">
      <c r="A121" s="52">
        <v>42855</v>
      </c>
      <c r="B121" s="53" t="s">
        <v>151</v>
      </c>
      <c r="C121" s="53" t="s">
        <v>137</v>
      </c>
      <c r="D121">
        <v>67.099999999999994</v>
      </c>
      <c r="E121">
        <v>0.74</v>
      </c>
      <c r="F121" s="53" t="s">
        <v>142</v>
      </c>
      <c r="G121">
        <v>35</v>
      </c>
      <c r="H121" s="53" t="s">
        <v>142</v>
      </c>
      <c r="I121">
        <v>10</v>
      </c>
      <c r="J121">
        <v>0.3</v>
      </c>
      <c r="K121">
        <v>27</v>
      </c>
      <c r="L121">
        <v>8</v>
      </c>
      <c r="M121">
        <v>20</v>
      </c>
      <c r="N121">
        <v>8.1</v>
      </c>
    </row>
    <row r="122" spans="1:14" x14ac:dyDescent="0.25">
      <c r="A122" s="52">
        <v>42856</v>
      </c>
      <c r="B122" s="53" t="s">
        <v>152</v>
      </c>
      <c r="C122" s="53" t="s">
        <v>140</v>
      </c>
      <c r="D122">
        <v>66.7</v>
      </c>
      <c r="E122">
        <v>0</v>
      </c>
      <c r="F122" s="53" t="s">
        <v>147</v>
      </c>
      <c r="G122">
        <v>56</v>
      </c>
      <c r="H122" s="53" t="s">
        <v>149</v>
      </c>
      <c r="I122">
        <v>15</v>
      </c>
      <c r="J122">
        <v>0.3</v>
      </c>
      <c r="K122">
        <v>29</v>
      </c>
      <c r="L122">
        <v>8</v>
      </c>
      <c r="M122">
        <v>25</v>
      </c>
      <c r="N122">
        <v>8.6999999999999993</v>
      </c>
    </row>
    <row r="123" spans="1:14" x14ac:dyDescent="0.25">
      <c r="A123" s="52">
        <v>42857</v>
      </c>
      <c r="B123" s="53" t="s">
        <v>152</v>
      </c>
      <c r="C123" s="53" t="s">
        <v>141</v>
      </c>
      <c r="D123">
        <v>65.7</v>
      </c>
      <c r="E123">
        <v>0</v>
      </c>
      <c r="F123" s="53" t="s">
        <v>147</v>
      </c>
      <c r="G123">
        <v>40</v>
      </c>
      <c r="H123" s="53" t="s">
        <v>142</v>
      </c>
      <c r="I123">
        <v>10</v>
      </c>
      <c r="J123">
        <v>0.3</v>
      </c>
      <c r="K123">
        <v>29</v>
      </c>
      <c r="L123">
        <v>8</v>
      </c>
      <c r="M123">
        <v>20</v>
      </c>
      <c r="N123">
        <v>8.6999999999999993</v>
      </c>
    </row>
    <row r="124" spans="1:14" x14ac:dyDescent="0.25">
      <c r="A124" s="52">
        <v>42858</v>
      </c>
      <c r="B124" s="53" t="s">
        <v>152</v>
      </c>
      <c r="C124" s="53" t="s">
        <v>143</v>
      </c>
      <c r="D124">
        <v>71</v>
      </c>
      <c r="E124">
        <v>0</v>
      </c>
      <c r="F124" s="53" t="s">
        <v>147</v>
      </c>
      <c r="G124">
        <v>55</v>
      </c>
      <c r="H124" s="53" t="s">
        <v>149</v>
      </c>
      <c r="I124">
        <v>15</v>
      </c>
      <c r="J124">
        <v>0.3</v>
      </c>
      <c r="K124">
        <v>30</v>
      </c>
      <c r="L124">
        <v>8</v>
      </c>
      <c r="M124">
        <v>25</v>
      </c>
      <c r="N124">
        <v>9</v>
      </c>
    </row>
    <row r="125" spans="1:14" x14ac:dyDescent="0.25">
      <c r="A125" s="52">
        <v>42859</v>
      </c>
      <c r="B125" s="53" t="s">
        <v>152</v>
      </c>
      <c r="C125" s="53" t="s">
        <v>144</v>
      </c>
      <c r="D125">
        <v>71.3</v>
      </c>
      <c r="E125">
        <v>0</v>
      </c>
      <c r="F125" s="53" t="s">
        <v>147</v>
      </c>
      <c r="G125">
        <v>64</v>
      </c>
      <c r="H125" s="53" t="s">
        <v>149</v>
      </c>
      <c r="I125">
        <v>15</v>
      </c>
      <c r="J125">
        <v>0.3</v>
      </c>
      <c r="K125">
        <v>31</v>
      </c>
      <c r="L125">
        <v>8</v>
      </c>
      <c r="M125">
        <v>25</v>
      </c>
      <c r="N125">
        <v>9.3000000000000007</v>
      </c>
    </row>
    <row r="126" spans="1:14" x14ac:dyDescent="0.25">
      <c r="A126" s="52">
        <v>42860</v>
      </c>
      <c r="B126" s="53" t="s">
        <v>152</v>
      </c>
      <c r="C126" s="53" t="s">
        <v>145</v>
      </c>
      <c r="D126">
        <v>69.400000000000006</v>
      </c>
      <c r="E126">
        <v>0.71</v>
      </c>
      <c r="F126" s="53" t="s">
        <v>142</v>
      </c>
      <c r="G126">
        <v>31</v>
      </c>
      <c r="H126" s="53" t="s">
        <v>142</v>
      </c>
      <c r="I126">
        <v>10</v>
      </c>
      <c r="J126">
        <v>0.3</v>
      </c>
      <c r="K126">
        <v>28</v>
      </c>
      <c r="L126">
        <v>8</v>
      </c>
      <c r="M126">
        <v>20</v>
      </c>
      <c r="N126">
        <v>8.4</v>
      </c>
    </row>
    <row r="127" spans="1:14" x14ac:dyDescent="0.25">
      <c r="A127" s="52">
        <v>42861</v>
      </c>
      <c r="B127" s="53" t="s">
        <v>152</v>
      </c>
      <c r="C127" s="53" t="s">
        <v>146</v>
      </c>
      <c r="D127">
        <v>66.7</v>
      </c>
      <c r="E127">
        <v>0</v>
      </c>
      <c r="F127" s="53" t="s">
        <v>147</v>
      </c>
      <c r="G127">
        <v>51</v>
      </c>
      <c r="H127" s="53" t="s">
        <v>149</v>
      </c>
      <c r="I127">
        <v>15</v>
      </c>
      <c r="J127">
        <v>0.3</v>
      </c>
      <c r="K127">
        <v>29</v>
      </c>
      <c r="L127">
        <v>8</v>
      </c>
      <c r="M127">
        <v>25</v>
      </c>
      <c r="N127">
        <v>8.6999999999999993</v>
      </c>
    </row>
    <row r="128" spans="1:14" x14ac:dyDescent="0.25">
      <c r="A128" s="52">
        <v>42862</v>
      </c>
      <c r="B128" s="53" t="s">
        <v>152</v>
      </c>
      <c r="C128" s="53" t="s">
        <v>137</v>
      </c>
      <c r="D128">
        <v>69.7</v>
      </c>
      <c r="E128">
        <v>0</v>
      </c>
      <c r="F128" s="53" t="s">
        <v>147</v>
      </c>
      <c r="G128">
        <v>49</v>
      </c>
      <c r="H128" s="53" t="s">
        <v>149</v>
      </c>
      <c r="I128">
        <v>15</v>
      </c>
      <c r="J128">
        <v>0.3</v>
      </c>
      <c r="K128">
        <v>29</v>
      </c>
      <c r="L128">
        <v>8</v>
      </c>
      <c r="M128">
        <v>25</v>
      </c>
      <c r="N128">
        <v>8.6999999999999993</v>
      </c>
    </row>
    <row r="129" spans="1:14" x14ac:dyDescent="0.25">
      <c r="A129" s="52">
        <v>42863</v>
      </c>
      <c r="B129" s="53" t="s">
        <v>152</v>
      </c>
      <c r="C129" s="53" t="s">
        <v>140</v>
      </c>
      <c r="D129">
        <v>75</v>
      </c>
      <c r="E129">
        <v>0</v>
      </c>
      <c r="F129" s="53" t="s">
        <v>147</v>
      </c>
      <c r="G129">
        <v>56</v>
      </c>
      <c r="H129" s="53" t="s">
        <v>149</v>
      </c>
      <c r="I129">
        <v>15</v>
      </c>
      <c r="J129">
        <v>0.3</v>
      </c>
      <c r="K129">
        <v>30</v>
      </c>
      <c r="L129">
        <v>8</v>
      </c>
      <c r="M129">
        <v>25</v>
      </c>
      <c r="N129">
        <v>9</v>
      </c>
    </row>
    <row r="130" spans="1:14" x14ac:dyDescent="0.25">
      <c r="A130" s="52">
        <v>42864</v>
      </c>
      <c r="B130" s="53" t="s">
        <v>152</v>
      </c>
      <c r="C130" s="53" t="s">
        <v>141</v>
      </c>
      <c r="D130">
        <v>71.3</v>
      </c>
      <c r="E130">
        <v>0</v>
      </c>
      <c r="F130" s="53" t="s">
        <v>147</v>
      </c>
      <c r="G130">
        <v>56</v>
      </c>
      <c r="H130" s="53" t="s">
        <v>149</v>
      </c>
      <c r="I130">
        <v>15</v>
      </c>
      <c r="J130">
        <v>0.3</v>
      </c>
      <c r="K130">
        <v>31</v>
      </c>
      <c r="L130">
        <v>8</v>
      </c>
      <c r="M130">
        <v>25</v>
      </c>
      <c r="N130">
        <v>9.3000000000000007</v>
      </c>
    </row>
    <row r="131" spans="1:14" x14ac:dyDescent="0.25">
      <c r="A131" s="52">
        <v>42865</v>
      </c>
      <c r="B131" s="53" t="s">
        <v>152</v>
      </c>
      <c r="C131" s="53" t="s">
        <v>143</v>
      </c>
      <c r="D131">
        <v>69.400000000000006</v>
      </c>
      <c r="E131">
        <v>0</v>
      </c>
      <c r="F131" s="53" t="s">
        <v>147</v>
      </c>
      <c r="G131">
        <v>40</v>
      </c>
      <c r="H131" s="53" t="s">
        <v>142</v>
      </c>
      <c r="I131">
        <v>10</v>
      </c>
      <c r="J131">
        <v>0.3</v>
      </c>
      <c r="K131">
        <v>28</v>
      </c>
      <c r="L131">
        <v>8</v>
      </c>
      <c r="M131">
        <v>20</v>
      </c>
      <c r="N131">
        <v>8.4</v>
      </c>
    </row>
    <row r="132" spans="1:14" x14ac:dyDescent="0.25">
      <c r="A132" s="52">
        <v>42866</v>
      </c>
      <c r="B132" s="53" t="s">
        <v>152</v>
      </c>
      <c r="C132" s="53" t="s">
        <v>144</v>
      </c>
      <c r="D132">
        <v>72.7</v>
      </c>
      <c r="E132">
        <v>0</v>
      </c>
      <c r="F132" s="53" t="s">
        <v>147</v>
      </c>
      <c r="G132">
        <v>57</v>
      </c>
      <c r="H132" s="53" t="s">
        <v>149</v>
      </c>
      <c r="I132">
        <v>15</v>
      </c>
      <c r="J132">
        <v>0.3</v>
      </c>
      <c r="K132">
        <v>29</v>
      </c>
      <c r="L132">
        <v>8</v>
      </c>
      <c r="M132">
        <v>25</v>
      </c>
      <c r="N132">
        <v>8.6999999999999993</v>
      </c>
    </row>
    <row r="133" spans="1:14" x14ac:dyDescent="0.25">
      <c r="A133" s="52">
        <v>42867</v>
      </c>
      <c r="B133" s="53" t="s">
        <v>152</v>
      </c>
      <c r="C133" s="53" t="s">
        <v>145</v>
      </c>
      <c r="D133">
        <v>66.7</v>
      </c>
      <c r="E133">
        <v>0.62</v>
      </c>
      <c r="F133" s="53" t="s">
        <v>142</v>
      </c>
      <c r="G133">
        <v>40</v>
      </c>
      <c r="H133" s="53" t="s">
        <v>142</v>
      </c>
      <c r="I133">
        <v>10</v>
      </c>
      <c r="J133">
        <v>0.3</v>
      </c>
      <c r="K133">
        <v>29</v>
      </c>
      <c r="L133">
        <v>8</v>
      </c>
      <c r="M133">
        <v>20</v>
      </c>
      <c r="N133">
        <v>8.6999999999999993</v>
      </c>
    </row>
    <row r="134" spans="1:14" x14ac:dyDescent="0.25">
      <c r="A134" s="52">
        <v>42868</v>
      </c>
      <c r="B134" s="53" t="s">
        <v>152</v>
      </c>
      <c r="C134" s="53" t="s">
        <v>146</v>
      </c>
      <c r="D134">
        <v>70</v>
      </c>
      <c r="E134">
        <v>0</v>
      </c>
      <c r="F134" s="53" t="s">
        <v>147</v>
      </c>
      <c r="G134">
        <v>34</v>
      </c>
      <c r="H134" s="53" t="s">
        <v>142</v>
      </c>
      <c r="I134">
        <v>10</v>
      </c>
      <c r="J134">
        <v>0.3</v>
      </c>
      <c r="K134">
        <v>30</v>
      </c>
      <c r="L134">
        <v>8</v>
      </c>
      <c r="M134">
        <v>20</v>
      </c>
      <c r="N134">
        <v>9</v>
      </c>
    </row>
    <row r="135" spans="1:14" x14ac:dyDescent="0.25">
      <c r="A135" s="52">
        <v>42869</v>
      </c>
      <c r="B135" s="53" t="s">
        <v>152</v>
      </c>
      <c r="C135" s="53" t="s">
        <v>137</v>
      </c>
      <c r="D135">
        <v>77.3</v>
      </c>
      <c r="E135">
        <v>0</v>
      </c>
      <c r="F135" s="53" t="s">
        <v>147</v>
      </c>
      <c r="G135">
        <v>58</v>
      </c>
      <c r="H135" s="53" t="s">
        <v>149</v>
      </c>
      <c r="I135">
        <v>15</v>
      </c>
      <c r="J135">
        <v>0.3</v>
      </c>
      <c r="K135">
        <v>31</v>
      </c>
      <c r="L135">
        <v>8</v>
      </c>
      <c r="M135">
        <v>25</v>
      </c>
      <c r="N135">
        <v>9.3000000000000007</v>
      </c>
    </row>
    <row r="136" spans="1:14" x14ac:dyDescent="0.25">
      <c r="A136" s="52">
        <v>42870</v>
      </c>
      <c r="B136" s="53" t="s">
        <v>152</v>
      </c>
      <c r="C136" s="53" t="s">
        <v>140</v>
      </c>
      <c r="D136">
        <v>63.4</v>
      </c>
      <c r="E136">
        <v>0</v>
      </c>
      <c r="F136" s="53" t="s">
        <v>147</v>
      </c>
      <c r="G136">
        <v>32</v>
      </c>
      <c r="H136" s="53" t="s">
        <v>142</v>
      </c>
      <c r="I136">
        <v>10</v>
      </c>
      <c r="J136">
        <v>0.3</v>
      </c>
      <c r="K136">
        <v>28</v>
      </c>
      <c r="L136">
        <v>8</v>
      </c>
      <c r="M136">
        <v>20</v>
      </c>
      <c r="N136">
        <v>8.4</v>
      </c>
    </row>
    <row r="137" spans="1:14" x14ac:dyDescent="0.25">
      <c r="A137" s="52">
        <v>42871</v>
      </c>
      <c r="B137" s="53" t="s">
        <v>152</v>
      </c>
      <c r="C137" s="53" t="s">
        <v>141</v>
      </c>
      <c r="D137">
        <v>65.7</v>
      </c>
      <c r="E137">
        <v>0</v>
      </c>
      <c r="F137" s="53" t="s">
        <v>147</v>
      </c>
      <c r="G137">
        <v>55</v>
      </c>
      <c r="H137" s="53" t="s">
        <v>149</v>
      </c>
      <c r="I137">
        <v>15</v>
      </c>
      <c r="J137">
        <v>0.3</v>
      </c>
      <c r="K137">
        <v>29</v>
      </c>
      <c r="L137">
        <v>8</v>
      </c>
      <c r="M137">
        <v>25</v>
      </c>
      <c r="N137">
        <v>8.6999999999999993</v>
      </c>
    </row>
    <row r="138" spans="1:14" x14ac:dyDescent="0.25">
      <c r="A138" s="52">
        <v>42872</v>
      </c>
      <c r="B138" s="53" t="s">
        <v>152</v>
      </c>
      <c r="C138" s="53" t="s">
        <v>143</v>
      </c>
      <c r="D138">
        <v>70.7</v>
      </c>
      <c r="E138">
        <v>0</v>
      </c>
      <c r="F138" s="53" t="s">
        <v>147</v>
      </c>
      <c r="G138">
        <v>43</v>
      </c>
      <c r="H138" s="53" t="s">
        <v>149</v>
      </c>
      <c r="I138">
        <v>15</v>
      </c>
      <c r="J138">
        <v>0.3</v>
      </c>
      <c r="K138">
        <v>29</v>
      </c>
      <c r="L138">
        <v>8</v>
      </c>
      <c r="M138">
        <v>25</v>
      </c>
      <c r="N138">
        <v>8.6999999999999993</v>
      </c>
    </row>
    <row r="139" spans="1:14" x14ac:dyDescent="0.25">
      <c r="A139" s="52">
        <v>42873</v>
      </c>
      <c r="B139" s="53" t="s">
        <v>152</v>
      </c>
      <c r="C139" s="53" t="s">
        <v>144</v>
      </c>
      <c r="D139">
        <v>72</v>
      </c>
      <c r="E139">
        <v>0</v>
      </c>
      <c r="F139" s="53" t="s">
        <v>147</v>
      </c>
      <c r="G139">
        <v>53</v>
      </c>
      <c r="H139" s="53" t="s">
        <v>149</v>
      </c>
      <c r="I139">
        <v>15</v>
      </c>
      <c r="J139">
        <v>0.3</v>
      </c>
      <c r="K139">
        <v>30</v>
      </c>
      <c r="L139">
        <v>8</v>
      </c>
      <c r="M139">
        <v>25</v>
      </c>
      <c r="N139">
        <v>9</v>
      </c>
    </row>
    <row r="140" spans="1:14" x14ac:dyDescent="0.25">
      <c r="A140" s="52">
        <v>42874</v>
      </c>
      <c r="B140" s="53" t="s">
        <v>152</v>
      </c>
      <c r="C140" s="53" t="s">
        <v>145</v>
      </c>
      <c r="D140">
        <v>75.3</v>
      </c>
      <c r="E140">
        <v>0</v>
      </c>
      <c r="F140" s="53" t="s">
        <v>147</v>
      </c>
      <c r="G140">
        <v>58</v>
      </c>
      <c r="H140" s="53" t="s">
        <v>149</v>
      </c>
      <c r="I140">
        <v>15</v>
      </c>
      <c r="J140">
        <v>0.3</v>
      </c>
      <c r="K140">
        <v>31</v>
      </c>
      <c r="L140">
        <v>8</v>
      </c>
      <c r="M140">
        <v>25</v>
      </c>
      <c r="N140">
        <v>9.3000000000000007</v>
      </c>
    </row>
    <row r="141" spans="1:14" x14ac:dyDescent="0.25">
      <c r="A141" s="52">
        <v>42875</v>
      </c>
      <c r="B141" s="53" t="s">
        <v>152</v>
      </c>
      <c r="C141" s="53" t="s">
        <v>146</v>
      </c>
      <c r="D141">
        <v>64.400000000000006</v>
      </c>
      <c r="E141">
        <v>0.4</v>
      </c>
      <c r="F141" s="53" t="s">
        <v>142</v>
      </c>
      <c r="G141">
        <v>59</v>
      </c>
      <c r="H141" s="53" t="s">
        <v>149</v>
      </c>
      <c r="I141">
        <v>15</v>
      </c>
      <c r="J141">
        <v>0.3</v>
      </c>
      <c r="K141">
        <v>28</v>
      </c>
      <c r="L141">
        <v>8</v>
      </c>
      <c r="M141">
        <v>25</v>
      </c>
      <c r="N141">
        <v>8.4</v>
      </c>
    </row>
    <row r="142" spans="1:14" x14ac:dyDescent="0.25">
      <c r="A142" s="52">
        <v>42876</v>
      </c>
      <c r="B142" s="53" t="s">
        <v>152</v>
      </c>
      <c r="C142" s="53" t="s">
        <v>137</v>
      </c>
      <c r="D142">
        <v>71.7</v>
      </c>
      <c r="E142">
        <v>0</v>
      </c>
      <c r="F142" s="53" t="s">
        <v>147</v>
      </c>
      <c r="G142">
        <v>47</v>
      </c>
      <c r="H142" s="53" t="s">
        <v>149</v>
      </c>
      <c r="I142">
        <v>15</v>
      </c>
      <c r="J142">
        <v>0.3</v>
      </c>
      <c r="K142">
        <v>29</v>
      </c>
      <c r="L142">
        <v>8</v>
      </c>
      <c r="M142">
        <v>25</v>
      </c>
      <c r="N142">
        <v>8.6999999999999993</v>
      </c>
    </row>
    <row r="143" spans="1:14" x14ac:dyDescent="0.25">
      <c r="A143" s="52">
        <v>42877</v>
      </c>
      <c r="B143" s="53" t="s">
        <v>152</v>
      </c>
      <c r="C143" s="53" t="s">
        <v>140</v>
      </c>
      <c r="D143">
        <v>71</v>
      </c>
      <c r="E143">
        <v>0</v>
      </c>
      <c r="F143" s="53" t="s">
        <v>147</v>
      </c>
      <c r="G143">
        <v>34</v>
      </c>
      <c r="H143" s="53" t="s">
        <v>142</v>
      </c>
      <c r="I143">
        <v>10</v>
      </c>
      <c r="J143">
        <v>0.3</v>
      </c>
      <c r="K143">
        <v>30</v>
      </c>
      <c r="L143">
        <v>8</v>
      </c>
      <c r="M143">
        <v>20</v>
      </c>
      <c r="N143">
        <v>9</v>
      </c>
    </row>
    <row r="144" spans="1:14" x14ac:dyDescent="0.25">
      <c r="A144" s="52">
        <v>42878</v>
      </c>
      <c r="B144" s="53" t="s">
        <v>152</v>
      </c>
      <c r="C144" s="53" t="s">
        <v>141</v>
      </c>
      <c r="D144">
        <v>76.3</v>
      </c>
      <c r="E144">
        <v>0</v>
      </c>
      <c r="F144" s="53" t="s">
        <v>147</v>
      </c>
      <c r="G144">
        <v>45</v>
      </c>
      <c r="H144" s="53" t="s">
        <v>149</v>
      </c>
      <c r="I144">
        <v>15</v>
      </c>
      <c r="J144">
        <v>0.3</v>
      </c>
      <c r="K144">
        <v>31</v>
      </c>
      <c r="L144">
        <v>8</v>
      </c>
      <c r="M144">
        <v>25</v>
      </c>
      <c r="N144">
        <v>9.3000000000000007</v>
      </c>
    </row>
    <row r="145" spans="1:14" x14ac:dyDescent="0.25">
      <c r="A145" s="52">
        <v>42879</v>
      </c>
      <c r="B145" s="53" t="s">
        <v>152</v>
      </c>
      <c r="C145" s="53" t="s">
        <v>143</v>
      </c>
      <c r="D145">
        <v>69.400000000000006</v>
      </c>
      <c r="E145">
        <v>0</v>
      </c>
      <c r="F145" s="53" t="s">
        <v>147</v>
      </c>
      <c r="G145">
        <v>34</v>
      </c>
      <c r="H145" s="53" t="s">
        <v>142</v>
      </c>
      <c r="I145">
        <v>10</v>
      </c>
      <c r="J145">
        <v>0.3</v>
      </c>
      <c r="K145">
        <v>28</v>
      </c>
      <c r="L145">
        <v>8</v>
      </c>
      <c r="M145">
        <v>20</v>
      </c>
      <c r="N145">
        <v>8.4</v>
      </c>
    </row>
    <row r="146" spans="1:14" x14ac:dyDescent="0.25">
      <c r="A146" s="52">
        <v>42880</v>
      </c>
      <c r="B146" s="53" t="s">
        <v>152</v>
      </c>
      <c r="C146" s="53" t="s">
        <v>144</v>
      </c>
      <c r="D146">
        <v>71.7</v>
      </c>
      <c r="E146">
        <v>0</v>
      </c>
      <c r="F146" s="53" t="s">
        <v>147</v>
      </c>
      <c r="G146">
        <v>53</v>
      </c>
      <c r="H146" s="53" t="s">
        <v>149</v>
      </c>
      <c r="I146">
        <v>15</v>
      </c>
      <c r="J146">
        <v>0.3</v>
      </c>
      <c r="K146">
        <v>29</v>
      </c>
      <c r="L146">
        <v>8</v>
      </c>
      <c r="M146">
        <v>25</v>
      </c>
      <c r="N146">
        <v>8.6999999999999993</v>
      </c>
    </row>
    <row r="147" spans="1:14" x14ac:dyDescent="0.25">
      <c r="A147" s="52">
        <v>42881</v>
      </c>
      <c r="B147" s="53" t="s">
        <v>152</v>
      </c>
      <c r="C147" s="53" t="s">
        <v>145</v>
      </c>
      <c r="D147">
        <v>72</v>
      </c>
      <c r="E147">
        <v>0</v>
      </c>
      <c r="F147" s="53" t="s">
        <v>147</v>
      </c>
      <c r="G147">
        <v>63</v>
      </c>
      <c r="H147" s="53" t="s">
        <v>149</v>
      </c>
      <c r="I147">
        <v>15</v>
      </c>
      <c r="J147">
        <v>0.3</v>
      </c>
      <c r="K147">
        <v>30</v>
      </c>
      <c r="L147">
        <v>8</v>
      </c>
      <c r="M147">
        <v>25</v>
      </c>
      <c r="N147">
        <v>9</v>
      </c>
    </row>
    <row r="148" spans="1:14" x14ac:dyDescent="0.25">
      <c r="A148" s="52">
        <v>42882</v>
      </c>
      <c r="B148" s="53" t="s">
        <v>152</v>
      </c>
      <c r="C148" s="53" t="s">
        <v>146</v>
      </c>
      <c r="D148">
        <v>77.3</v>
      </c>
      <c r="E148">
        <v>0</v>
      </c>
      <c r="F148" s="53" t="s">
        <v>147</v>
      </c>
      <c r="G148">
        <v>56</v>
      </c>
      <c r="H148" s="53" t="s">
        <v>149</v>
      </c>
      <c r="I148">
        <v>15</v>
      </c>
      <c r="J148">
        <v>0.3</v>
      </c>
      <c r="K148">
        <v>31</v>
      </c>
      <c r="L148">
        <v>8</v>
      </c>
      <c r="M148">
        <v>25</v>
      </c>
      <c r="N148">
        <v>9.3000000000000007</v>
      </c>
    </row>
    <row r="149" spans="1:14" x14ac:dyDescent="0.25">
      <c r="A149" s="52">
        <v>42883</v>
      </c>
      <c r="B149" s="53" t="s">
        <v>152</v>
      </c>
      <c r="C149" s="53" t="s">
        <v>137</v>
      </c>
      <c r="D149">
        <v>71.7</v>
      </c>
      <c r="E149">
        <v>0</v>
      </c>
      <c r="F149" s="53" t="s">
        <v>147</v>
      </c>
      <c r="G149">
        <v>45</v>
      </c>
      <c r="H149" s="53" t="s">
        <v>149</v>
      </c>
      <c r="I149">
        <v>15</v>
      </c>
      <c r="J149">
        <v>0.3</v>
      </c>
      <c r="K149">
        <v>29</v>
      </c>
      <c r="L149">
        <v>8</v>
      </c>
      <c r="M149">
        <v>25</v>
      </c>
      <c r="N149">
        <v>8.6999999999999993</v>
      </c>
    </row>
    <row r="150" spans="1:14" x14ac:dyDescent="0.25">
      <c r="A150" s="52">
        <v>42884</v>
      </c>
      <c r="B150" s="53" t="s">
        <v>152</v>
      </c>
      <c r="C150" s="53" t="s">
        <v>140</v>
      </c>
      <c r="D150">
        <v>66.7</v>
      </c>
      <c r="E150">
        <v>1.02</v>
      </c>
      <c r="F150" s="53" t="s">
        <v>138</v>
      </c>
      <c r="G150">
        <v>32</v>
      </c>
      <c r="H150" s="53" t="s">
        <v>142</v>
      </c>
      <c r="I150">
        <v>10</v>
      </c>
      <c r="J150">
        <v>0.3</v>
      </c>
      <c r="K150">
        <v>29</v>
      </c>
      <c r="L150">
        <v>8</v>
      </c>
      <c r="M150">
        <v>20</v>
      </c>
      <c r="N150">
        <v>8.6999999999999993</v>
      </c>
    </row>
    <row r="151" spans="1:14" x14ac:dyDescent="0.25">
      <c r="A151" s="52">
        <v>42885</v>
      </c>
      <c r="B151" s="53" t="s">
        <v>152</v>
      </c>
      <c r="C151" s="53" t="s">
        <v>141</v>
      </c>
      <c r="D151">
        <v>75</v>
      </c>
      <c r="E151">
        <v>0.54</v>
      </c>
      <c r="F151" s="53" t="s">
        <v>142</v>
      </c>
      <c r="G151">
        <v>43</v>
      </c>
      <c r="H151" s="53" t="s">
        <v>149</v>
      </c>
      <c r="I151">
        <v>15</v>
      </c>
      <c r="J151">
        <v>0.3</v>
      </c>
      <c r="K151">
        <v>30</v>
      </c>
      <c r="L151">
        <v>8</v>
      </c>
      <c r="M151">
        <v>25</v>
      </c>
      <c r="N151">
        <v>9</v>
      </c>
    </row>
    <row r="152" spans="1:14" x14ac:dyDescent="0.25">
      <c r="A152" s="52">
        <v>42886</v>
      </c>
      <c r="B152" s="53" t="s">
        <v>152</v>
      </c>
      <c r="C152" s="53" t="s">
        <v>143</v>
      </c>
      <c r="D152">
        <v>77.3</v>
      </c>
      <c r="E152">
        <v>0.78</v>
      </c>
      <c r="F152" s="53" t="s">
        <v>142</v>
      </c>
      <c r="G152">
        <v>56</v>
      </c>
      <c r="H152" s="53" t="s">
        <v>149</v>
      </c>
      <c r="I152">
        <v>15</v>
      </c>
      <c r="J152">
        <v>0.3</v>
      </c>
      <c r="K152">
        <v>31</v>
      </c>
      <c r="L152">
        <v>8</v>
      </c>
      <c r="M152">
        <v>25</v>
      </c>
      <c r="N152">
        <v>9.3000000000000007</v>
      </c>
    </row>
    <row r="153" spans="1:14" x14ac:dyDescent="0.25">
      <c r="A153" s="52">
        <v>42887</v>
      </c>
      <c r="B153" s="53" t="s">
        <v>153</v>
      </c>
      <c r="C153" s="53" t="s">
        <v>144</v>
      </c>
      <c r="D153">
        <v>71.3</v>
      </c>
      <c r="E153">
        <v>0</v>
      </c>
      <c r="F153" s="53" t="s">
        <v>147</v>
      </c>
      <c r="G153">
        <v>42</v>
      </c>
      <c r="H153" s="53" t="s">
        <v>149</v>
      </c>
      <c r="I153">
        <v>15</v>
      </c>
      <c r="J153">
        <v>0.3</v>
      </c>
      <c r="K153">
        <v>31</v>
      </c>
      <c r="L153">
        <v>8</v>
      </c>
      <c r="M153">
        <v>25</v>
      </c>
      <c r="N153">
        <v>9.3000000000000007</v>
      </c>
    </row>
    <row r="154" spans="1:14" x14ac:dyDescent="0.25">
      <c r="A154" s="52">
        <v>42888</v>
      </c>
      <c r="B154" s="53" t="s">
        <v>153</v>
      </c>
      <c r="C154" s="53" t="s">
        <v>145</v>
      </c>
      <c r="D154">
        <v>79.900000000000006</v>
      </c>
      <c r="E154">
        <v>0</v>
      </c>
      <c r="F154" s="53" t="s">
        <v>147</v>
      </c>
      <c r="G154">
        <v>48</v>
      </c>
      <c r="H154" s="53" t="s">
        <v>149</v>
      </c>
      <c r="I154">
        <v>15</v>
      </c>
      <c r="J154">
        <v>0.3</v>
      </c>
      <c r="K154">
        <v>33</v>
      </c>
      <c r="L154">
        <v>8</v>
      </c>
      <c r="M154">
        <v>25</v>
      </c>
      <c r="N154">
        <v>9.9</v>
      </c>
    </row>
    <row r="155" spans="1:14" x14ac:dyDescent="0.25">
      <c r="A155" s="52">
        <v>42889</v>
      </c>
      <c r="B155" s="53" t="s">
        <v>153</v>
      </c>
      <c r="C155" s="53" t="s">
        <v>146</v>
      </c>
      <c r="D155">
        <v>81.5</v>
      </c>
      <c r="E155">
        <v>0</v>
      </c>
      <c r="F155" s="53" t="s">
        <v>147</v>
      </c>
      <c r="G155">
        <v>59</v>
      </c>
      <c r="H155" s="53" t="s">
        <v>149</v>
      </c>
      <c r="I155">
        <v>15</v>
      </c>
      <c r="J155">
        <v>0.3</v>
      </c>
      <c r="K155">
        <v>35</v>
      </c>
      <c r="L155">
        <v>8</v>
      </c>
      <c r="M155">
        <v>25</v>
      </c>
      <c r="N155">
        <v>10.5</v>
      </c>
    </row>
    <row r="156" spans="1:14" x14ac:dyDescent="0.25">
      <c r="A156" s="52">
        <v>42890</v>
      </c>
      <c r="B156" s="53" t="s">
        <v>153</v>
      </c>
      <c r="C156" s="53" t="s">
        <v>137</v>
      </c>
      <c r="D156">
        <v>90.4</v>
      </c>
      <c r="E156">
        <v>0</v>
      </c>
      <c r="F156" s="53" t="s">
        <v>147</v>
      </c>
      <c r="G156">
        <v>43</v>
      </c>
      <c r="H156" s="53" t="s">
        <v>149</v>
      </c>
      <c r="I156">
        <v>15</v>
      </c>
      <c r="J156">
        <v>0.3</v>
      </c>
      <c r="K156">
        <v>38</v>
      </c>
      <c r="L156">
        <v>8</v>
      </c>
      <c r="M156">
        <v>25</v>
      </c>
      <c r="N156">
        <v>11.4</v>
      </c>
    </row>
    <row r="157" spans="1:14" x14ac:dyDescent="0.25">
      <c r="A157" s="52">
        <v>42891</v>
      </c>
      <c r="B157" s="53" t="s">
        <v>153</v>
      </c>
      <c r="C157" s="53" t="s">
        <v>140</v>
      </c>
      <c r="D157">
        <v>78.599999999999994</v>
      </c>
      <c r="E157">
        <v>0</v>
      </c>
      <c r="F157" s="53" t="s">
        <v>147</v>
      </c>
      <c r="G157">
        <v>36</v>
      </c>
      <c r="H157" s="53" t="s">
        <v>142</v>
      </c>
      <c r="I157">
        <v>10</v>
      </c>
      <c r="J157">
        <v>0.3</v>
      </c>
      <c r="K157">
        <v>32</v>
      </c>
      <c r="L157">
        <v>8</v>
      </c>
      <c r="M157">
        <v>20</v>
      </c>
      <c r="N157">
        <v>9.6</v>
      </c>
    </row>
    <row r="158" spans="1:14" x14ac:dyDescent="0.25">
      <c r="A158" s="52">
        <v>42892</v>
      </c>
      <c r="B158" s="53" t="s">
        <v>153</v>
      </c>
      <c r="C158" s="53" t="s">
        <v>141</v>
      </c>
      <c r="D158">
        <v>84.2</v>
      </c>
      <c r="E158">
        <v>0</v>
      </c>
      <c r="F158" s="53" t="s">
        <v>147</v>
      </c>
      <c r="G158">
        <v>44</v>
      </c>
      <c r="H158" s="53" t="s">
        <v>149</v>
      </c>
      <c r="I158">
        <v>15</v>
      </c>
      <c r="J158">
        <v>0.3</v>
      </c>
      <c r="K158">
        <v>34</v>
      </c>
      <c r="L158">
        <v>8</v>
      </c>
      <c r="M158">
        <v>25</v>
      </c>
      <c r="N158">
        <v>10.199999999999999</v>
      </c>
    </row>
    <row r="159" spans="1:14" x14ac:dyDescent="0.25">
      <c r="A159" s="52">
        <v>42893</v>
      </c>
      <c r="B159" s="53" t="s">
        <v>153</v>
      </c>
      <c r="C159" s="53" t="s">
        <v>143</v>
      </c>
      <c r="D159">
        <v>86.8</v>
      </c>
      <c r="E159">
        <v>0</v>
      </c>
      <c r="F159" s="53" t="s">
        <v>147</v>
      </c>
      <c r="G159">
        <v>58</v>
      </c>
      <c r="H159" s="53" t="s">
        <v>149</v>
      </c>
      <c r="I159">
        <v>15</v>
      </c>
      <c r="J159">
        <v>0.3</v>
      </c>
      <c r="K159">
        <v>36</v>
      </c>
      <c r="L159">
        <v>8</v>
      </c>
      <c r="M159">
        <v>25</v>
      </c>
      <c r="N159">
        <v>10.8</v>
      </c>
    </row>
    <row r="160" spans="1:14" x14ac:dyDescent="0.25">
      <c r="A160" s="52">
        <v>42894</v>
      </c>
      <c r="B160" s="53" t="s">
        <v>153</v>
      </c>
      <c r="C160" s="53" t="s">
        <v>144</v>
      </c>
      <c r="D160">
        <v>90.7</v>
      </c>
      <c r="E160">
        <v>0</v>
      </c>
      <c r="F160" s="53" t="s">
        <v>147</v>
      </c>
      <c r="G160">
        <v>46</v>
      </c>
      <c r="H160" s="53" t="s">
        <v>149</v>
      </c>
      <c r="I160">
        <v>15</v>
      </c>
      <c r="J160">
        <v>0.3</v>
      </c>
      <c r="K160">
        <v>39</v>
      </c>
      <c r="L160">
        <v>8</v>
      </c>
      <c r="M160">
        <v>25</v>
      </c>
      <c r="N160">
        <v>11.7</v>
      </c>
    </row>
    <row r="161" spans="1:14" x14ac:dyDescent="0.25">
      <c r="A161" s="52">
        <v>42895</v>
      </c>
      <c r="B161" s="53" t="s">
        <v>153</v>
      </c>
      <c r="C161" s="53" t="s">
        <v>145</v>
      </c>
      <c r="D161">
        <v>77.599999999999994</v>
      </c>
      <c r="E161">
        <v>0</v>
      </c>
      <c r="F161" s="53" t="s">
        <v>147</v>
      </c>
      <c r="G161">
        <v>44</v>
      </c>
      <c r="H161" s="53" t="s">
        <v>149</v>
      </c>
      <c r="I161">
        <v>15</v>
      </c>
      <c r="J161">
        <v>0.3</v>
      </c>
      <c r="K161">
        <v>32</v>
      </c>
      <c r="L161">
        <v>8</v>
      </c>
      <c r="M161">
        <v>25</v>
      </c>
      <c r="N161">
        <v>9.6</v>
      </c>
    </row>
    <row r="162" spans="1:14" x14ac:dyDescent="0.25">
      <c r="A162" s="52">
        <v>42896</v>
      </c>
      <c r="B162" s="53" t="s">
        <v>153</v>
      </c>
      <c r="C162" s="53" t="s">
        <v>146</v>
      </c>
      <c r="D162">
        <v>79.5</v>
      </c>
      <c r="E162">
        <v>0</v>
      </c>
      <c r="F162" s="53" t="s">
        <v>147</v>
      </c>
      <c r="G162">
        <v>54</v>
      </c>
      <c r="H162" s="53" t="s">
        <v>149</v>
      </c>
      <c r="I162">
        <v>15</v>
      </c>
      <c r="J162">
        <v>0.3</v>
      </c>
      <c r="K162">
        <v>35</v>
      </c>
      <c r="L162">
        <v>8</v>
      </c>
      <c r="M162">
        <v>25</v>
      </c>
      <c r="N162">
        <v>10.5</v>
      </c>
    </row>
    <row r="163" spans="1:14" x14ac:dyDescent="0.25">
      <c r="A163" s="52">
        <v>42897</v>
      </c>
      <c r="B163" s="53" t="s">
        <v>153</v>
      </c>
      <c r="C163" s="53" t="s">
        <v>137</v>
      </c>
      <c r="D163">
        <v>84.8</v>
      </c>
      <c r="E163">
        <v>0</v>
      </c>
      <c r="F163" s="53" t="s">
        <v>147</v>
      </c>
      <c r="G163">
        <v>42</v>
      </c>
      <c r="H163" s="53" t="s">
        <v>149</v>
      </c>
      <c r="I163">
        <v>15</v>
      </c>
      <c r="J163">
        <v>0.3</v>
      </c>
      <c r="K163">
        <v>36</v>
      </c>
      <c r="L163">
        <v>8</v>
      </c>
      <c r="M163">
        <v>25</v>
      </c>
      <c r="N163">
        <v>10.8</v>
      </c>
    </row>
    <row r="164" spans="1:14" x14ac:dyDescent="0.25">
      <c r="A164" s="52">
        <v>42898</v>
      </c>
      <c r="B164" s="53" t="s">
        <v>153</v>
      </c>
      <c r="C164" s="53" t="s">
        <v>140</v>
      </c>
      <c r="D164">
        <v>93</v>
      </c>
      <c r="E164">
        <v>0</v>
      </c>
      <c r="F164" s="53" t="s">
        <v>147</v>
      </c>
      <c r="G164">
        <v>67</v>
      </c>
      <c r="H164" s="53" t="s">
        <v>149</v>
      </c>
      <c r="I164">
        <v>15</v>
      </c>
      <c r="J164">
        <v>0.3</v>
      </c>
      <c r="K164">
        <v>40</v>
      </c>
      <c r="L164">
        <v>8</v>
      </c>
      <c r="M164">
        <v>25</v>
      </c>
      <c r="N164">
        <v>12</v>
      </c>
    </row>
    <row r="165" spans="1:14" x14ac:dyDescent="0.25">
      <c r="A165" s="52">
        <v>42899</v>
      </c>
      <c r="B165" s="53" t="s">
        <v>153</v>
      </c>
      <c r="C165" s="53" t="s">
        <v>141</v>
      </c>
      <c r="D165">
        <v>75.599999999999994</v>
      </c>
      <c r="E165">
        <v>0</v>
      </c>
      <c r="F165" s="53" t="s">
        <v>147</v>
      </c>
      <c r="G165">
        <v>65</v>
      </c>
      <c r="H165" s="53" t="s">
        <v>149</v>
      </c>
      <c r="I165">
        <v>15</v>
      </c>
      <c r="J165">
        <v>0.3</v>
      </c>
      <c r="K165">
        <v>32</v>
      </c>
      <c r="L165">
        <v>8</v>
      </c>
      <c r="M165">
        <v>25</v>
      </c>
      <c r="N165">
        <v>9.6</v>
      </c>
    </row>
    <row r="166" spans="1:14" x14ac:dyDescent="0.25">
      <c r="A166" s="52">
        <v>42900</v>
      </c>
      <c r="B166" s="53" t="s">
        <v>153</v>
      </c>
      <c r="C166" s="53" t="s">
        <v>143</v>
      </c>
      <c r="D166">
        <v>80.5</v>
      </c>
      <c r="E166">
        <v>0</v>
      </c>
      <c r="F166" s="53" t="s">
        <v>147</v>
      </c>
      <c r="G166">
        <v>48</v>
      </c>
      <c r="H166" s="53" t="s">
        <v>149</v>
      </c>
      <c r="I166">
        <v>15</v>
      </c>
      <c r="J166">
        <v>0.3</v>
      </c>
      <c r="K166">
        <v>35</v>
      </c>
      <c r="L166">
        <v>8</v>
      </c>
      <c r="M166">
        <v>25</v>
      </c>
      <c r="N166">
        <v>10.5</v>
      </c>
    </row>
    <row r="167" spans="1:14" x14ac:dyDescent="0.25">
      <c r="A167" s="52">
        <v>42901</v>
      </c>
      <c r="B167" s="53" t="s">
        <v>153</v>
      </c>
      <c r="C167" s="53" t="s">
        <v>144</v>
      </c>
      <c r="D167">
        <v>84.8</v>
      </c>
      <c r="E167">
        <v>0.72</v>
      </c>
      <c r="F167" s="53" t="s">
        <v>142</v>
      </c>
      <c r="G167">
        <v>50</v>
      </c>
      <c r="H167" s="53" t="s">
        <v>149</v>
      </c>
      <c r="I167">
        <v>15</v>
      </c>
      <c r="J167">
        <v>0.3</v>
      </c>
      <c r="K167">
        <v>36</v>
      </c>
      <c r="L167">
        <v>8</v>
      </c>
      <c r="M167">
        <v>25</v>
      </c>
      <c r="N167">
        <v>10.8</v>
      </c>
    </row>
    <row r="168" spans="1:14" x14ac:dyDescent="0.25">
      <c r="A168" s="52">
        <v>42902</v>
      </c>
      <c r="B168" s="53" t="s">
        <v>153</v>
      </c>
      <c r="C168" s="53" t="s">
        <v>145</v>
      </c>
      <c r="D168">
        <v>99.3</v>
      </c>
      <c r="E168">
        <v>0</v>
      </c>
      <c r="F168" s="53" t="s">
        <v>147</v>
      </c>
      <c r="G168">
        <v>77</v>
      </c>
      <c r="H168" s="53" t="s">
        <v>149</v>
      </c>
      <c r="I168">
        <v>15</v>
      </c>
      <c r="J168">
        <v>0.3</v>
      </c>
      <c r="K168">
        <v>41</v>
      </c>
      <c r="L168">
        <v>8</v>
      </c>
      <c r="M168">
        <v>25</v>
      </c>
      <c r="N168">
        <v>12.3</v>
      </c>
    </row>
    <row r="169" spans="1:14" x14ac:dyDescent="0.25">
      <c r="A169" s="52">
        <v>42903</v>
      </c>
      <c r="B169" s="53" t="s">
        <v>153</v>
      </c>
      <c r="C169" s="53" t="s">
        <v>146</v>
      </c>
      <c r="D169">
        <v>76.3</v>
      </c>
      <c r="E169">
        <v>0</v>
      </c>
      <c r="F169" s="53" t="s">
        <v>147</v>
      </c>
      <c r="G169">
        <v>47</v>
      </c>
      <c r="H169" s="53" t="s">
        <v>149</v>
      </c>
      <c r="I169">
        <v>15</v>
      </c>
      <c r="J169">
        <v>0.3</v>
      </c>
      <c r="K169">
        <v>31</v>
      </c>
      <c r="L169">
        <v>8</v>
      </c>
      <c r="M169">
        <v>25</v>
      </c>
      <c r="N169">
        <v>9.3000000000000007</v>
      </c>
    </row>
    <row r="170" spans="1:14" x14ac:dyDescent="0.25">
      <c r="A170" s="52">
        <v>42904</v>
      </c>
      <c r="B170" s="53" t="s">
        <v>153</v>
      </c>
      <c r="C170" s="53" t="s">
        <v>137</v>
      </c>
      <c r="D170">
        <v>72.599999999999994</v>
      </c>
      <c r="E170">
        <v>0</v>
      </c>
      <c r="F170" s="53" t="s">
        <v>147</v>
      </c>
      <c r="G170">
        <v>60</v>
      </c>
      <c r="H170" s="53" t="s">
        <v>149</v>
      </c>
      <c r="I170">
        <v>15</v>
      </c>
      <c r="J170">
        <v>0.3</v>
      </c>
      <c r="K170">
        <v>32</v>
      </c>
      <c r="L170">
        <v>8</v>
      </c>
      <c r="M170">
        <v>25</v>
      </c>
      <c r="N170">
        <v>9.6</v>
      </c>
    </row>
    <row r="171" spans="1:14" x14ac:dyDescent="0.25">
      <c r="A171" s="52">
        <v>42905</v>
      </c>
      <c r="B171" s="53" t="s">
        <v>153</v>
      </c>
      <c r="C171" s="53" t="s">
        <v>140</v>
      </c>
      <c r="D171">
        <v>86.5</v>
      </c>
      <c r="E171">
        <v>0</v>
      </c>
      <c r="F171" s="53" t="s">
        <v>147</v>
      </c>
      <c r="G171">
        <v>66</v>
      </c>
      <c r="H171" s="53" t="s">
        <v>149</v>
      </c>
      <c r="I171">
        <v>15</v>
      </c>
      <c r="J171">
        <v>0.3</v>
      </c>
      <c r="K171">
        <v>35</v>
      </c>
      <c r="L171">
        <v>8</v>
      </c>
      <c r="M171">
        <v>25</v>
      </c>
      <c r="N171">
        <v>10.5</v>
      </c>
    </row>
    <row r="172" spans="1:14" x14ac:dyDescent="0.25">
      <c r="A172" s="52">
        <v>42906</v>
      </c>
      <c r="B172" s="53" t="s">
        <v>153</v>
      </c>
      <c r="C172" s="53" t="s">
        <v>141</v>
      </c>
      <c r="D172">
        <v>85.1</v>
      </c>
      <c r="E172">
        <v>0.56000000000000005</v>
      </c>
      <c r="F172" s="53" t="s">
        <v>142</v>
      </c>
      <c r="G172">
        <v>70</v>
      </c>
      <c r="H172" s="53" t="s">
        <v>149</v>
      </c>
      <c r="I172">
        <v>15</v>
      </c>
      <c r="J172">
        <v>0.3</v>
      </c>
      <c r="K172">
        <v>37</v>
      </c>
      <c r="L172">
        <v>8</v>
      </c>
      <c r="M172">
        <v>25</v>
      </c>
      <c r="N172">
        <v>11.1</v>
      </c>
    </row>
    <row r="173" spans="1:14" x14ac:dyDescent="0.25">
      <c r="A173" s="52">
        <v>42907</v>
      </c>
      <c r="B173" s="53" t="s">
        <v>153</v>
      </c>
      <c r="C173" s="53" t="s">
        <v>143</v>
      </c>
      <c r="D173">
        <v>94.3</v>
      </c>
      <c r="E173">
        <v>0</v>
      </c>
      <c r="F173" s="53" t="s">
        <v>147</v>
      </c>
      <c r="G173">
        <v>76</v>
      </c>
      <c r="H173" s="53" t="s">
        <v>149</v>
      </c>
      <c r="I173">
        <v>15</v>
      </c>
      <c r="J173">
        <v>0.3</v>
      </c>
      <c r="K173">
        <v>41</v>
      </c>
      <c r="L173">
        <v>8</v>
      </c>
      <c r="M173">
        <v>25</v>
      </c>
      <c r="N173">
        <v>12.3</v>
      </c>
    </row>
    <row r="174" spans="1:14" x14ac:dyDescent="0.25">
      <c r="A174" s="52">
        <v>42908</v>
      </c>
      <c r="B174" s="53" t="s">
        <v>153</v>
      </c>
      <c r="C174" s="53" t="s">
        <v>144</v>
      </c>
      <c r="D174">
        <v>72.3</v>
      </c>
      <c r="E174">
        <v>0.12</v>
      </c>
      <c r="F174" s="53" t="s">
        <v>142</v>
      </c>
      <c r="G174">
        <v>36</v>
      </c>
      <c r="H174" s="53" t="s">
        <v>142</v>
      </c>
      <c r="I174">
        <v>10</v>
      </c>
      <c r="J174">
        <v>0.3</v>
      </c>
      <c r="K174">
        <v>31</v>
      </c>
      <c r="L174">
        <v>8</v>
      </c>
      <c r="M174">
        <v>20</v>
      </c>
      <c r="N174">
        <v>9.3000000000000007</v>
      </c>
    </row>
    <row r="175" spans="1:14" x14ac:dyDescent="0.25">
      <c r="A175" s="52">
        <v>42909</v>
      </c>
      <c r="B175" s="53" t="s">
        <v>153</v>
      </c>
      <c r="C175" s="53" t="s">
        <v>145</v>
      </c>
      <c r="D175">
        <v>79.900000000000006</v>
      </c>
      <c r="E175">
        <v>0</v>
      </c>
      <c r="F175" s="53" t="s">
        <v>147</v>
      </c>
      <c r="G175">
        <v>39</v>
      </c>
      <c r="H175" s="53" t="s">
        <v>142</v>
      </c>
      <c r="I175">
        <v>10</v>
      </c>
      <c r="J175">
        <v>0.3</v>
      </c>
      <c r="K175">
        <v>33</v>
      </c>
      <c r="L175">
        <v>8</v>
      </c>
      <c r="M175">
        <v>20</v>
      </c>
      <c r="N175">
        <v>9.9</v>
      </c>
    </row>
    <row r="176" spans="1:14" x14ac:dyDescent="0.25">
      <c r="A176" s="52">
        <v>42910</v>
      </c>
      <c r="B176" s="53" t="s">
        <v>153</v>
      </c>
      <c r="C176" s="53" t="s">
        <v>146</v>
      </c>
      <c r="D176">
        <v>80.5</v>
      </c>
      <c r="E176">
        <v>0</v>
      </c>
      <c r="F176" s="53" t="s">
        <v>147</v>
      </c>
      <c r="G176">
        <v>50</v>
      </c>
      <c r="H176" s="53" t="s">
        <v>149</v>
      </c>
      <c r="I176">
        <v>15</v>
      </c>
      <c r="J176">
        <v>0.3</v>
      </c>
      <c r="K176">
        <v>35</v>
      </c>
      <c r="L176">
        <v>8</v>
      </c>
      <c r="M176">
        <v>25</v>
      </c>
      <c r="N176">
        <v>10.5</v>
      </c>
    </row>
    <row r="177" spans="1:14" x14ac:dyDescent="0.25">
      <c r="A177" s="52">
        <v>42911</v>
      </c>
      <c r="B177" s="53" t="s">
        <v>153</v>
      </c>
      <c r="C177" s="53" t="s">
        <v>137</v>
      </c>
      <c r="D177">
        <v>85.1</v>
      </c>
      <c r="E177">
        <v>0</v>
      </c>
      <c r="F177" s="53" t="s">
        <v>147</v>
      </c>
      <c r="G177">
        <v>58</v>
      </c>
      <c r="H177" s="53" t="s">
        <v>149</v>
      </c>
      <c r="I177">
        <v>15</v>
      </c>
      <c r="J177">
        <v>0.3</v>
      </c>
      <c r="K177">
        <v>37</v>
      </c>
      <c r="L177">
        <v>8</v>
      </c>
      <c r="M177">
        <v>25</v>
      </c>
      <c r="N177">
        <v>11.1</v>
      </c>
    </row>
    <row r="178" spans="1:14" x14ac:dyDescent="0.25">
      <c r="A178" s="52">
        <v>42912</v>
      </c>
      <c r="B178" s="53" t="s">
        <v>153</v>
      </c>
      <c r="C178" s="53" t="s">
        <v>140</v>
      </c>
      <c r="D178">
        <v>102.6</v>
      </c>
      <c r="E178">
        <v>0</v>
      </c>
      <c r="F178" s="53" t="s">
        <v>147</v>
      </c>
      <c r="G178">
        <v>60</v>
      </c>
      <c r="H178" s="53" t="s">
        <v>149</v>
      </c>
      <c r="I178">
        <v>15</v>
      </c>
      <c r="J178">
        <v>0.3</v>
      </c>
      <c r="K178">
        <v>42</v>
      </c>
      <c r="L178">
        <v>8</v>
      </c>
      <c r="M178">
        <v>25</v>
      </c>
      <c r="N178">
        <v>12.6</v>
      </c>
    </row>
    <row r="179" spans="1:14" x14ac:dyDescent="0.25">
      <c r="A179" s="52">
        <v>42913</v>
      </c>
      <c r="B179" s="53" t="s">
        <v>153</v>
      </c>
      <c r="C179" s="53" t="s">
        <v>141</v>
      </c>
      <c r="D179">
        <v>75.3</v>
      </c>
      <c r="E179">
        <v>0</v>
      </c>
      <c r="F179" s="53" t="s">
        <v>147</v>
      </c>
      <c r="G179">
        <v>62</v>
      </c>
      <c r="H179" s="53" t="s">
        <v>149</v>
      </c>
      <c r="I179">
        <v>15</v>
      </c>
      <c r="J179">
        <v>0.3</v>
      </c>
      <c r="K179">
        <v>31</v>
      </c>
      <c r="L179">
        <v>8</v>
      </c>
      <c r="M179">
        <v>25</v>
      </c>
      <c r="N179">
        <v>9.3000000000000007</v>
      </c>
    </row>
    <row r="180" spans="1:14" x14ac:dyDescent="0.25">
      <c r="A180" s="52">
        <v>42914</v>
      </c>
      <c r="B180" s="53" t="s">
        <v>153</v>
      </c>
      <c r="C180" s="53" t="s">
        <v>143</v>
      </c>
      <c r="D180">
        <v>75.900000000000006</v>
      </c>
      <c r="E180">
        <v>0</v>
      </c>
      <c r="F180" s="53" t="s">
        <v>147</v>
      </c>
      <c r="G180">
        <v>65</v>
      </c>
      <c r="H180" s="53" t="s">
        <v>149</v>
      </c>
      <c r="I180">
        <v>15</v>
      </c>
      <c r="J180">
        <v>0.3</v>
      </c>
      <c r="K180">
        <v>33</v>
      </c>
      <c r="L180">
        <v>8</v>
      </c>
      <c r="M180">
        <v>25</v>
      </c>
      <c r="N180">
        <v>9.9</v>
      </c>
    </row>
    <row r="181" spans="1:14" x14ac:dyDescent="0.25">
      <c r="A181" s="52">
        <v>42915</v>
      </c>
      <c r="B181" s="53" t="s">
        <v>153</v>
      </c>
      <c r="C181" s="53" t="s">
        <v>144</v>
      </c>
      <c r="D181">
        <v>86.5</v>
      </c>
      <c r="E181">
        <v>0</v>
      </c>
      <c r="F181" s="53" t="s">
        <v>147</v>
      </c>
      <c r="G181">
        <v>64</v>
      </c>
      <c r="H181" s="53" t="s">
        <v>149</v>
      </c>
      <c r="I181">
        <v>15</v>
      </c>
      <c r="J181">
        <v>0.3</v>
      </c>
      <c r="K181">
        <v>35</v>
      </c>
      <c r="L181">
        <v>8</v>
      </c>
      <c r="M181">
        <v>25</v>
      </c>
      <c r="N181">
        <v>10.5</v>
      </c>
    </row>
    <row r="182" spans="1:14" x14ac:dyDescent="0.25">
      <c r="A182" s="52">
        <v>42916</v>
      </c>
      <c r="B182" s="53" t="s">
        <v>153</v>
      </c>
      <c r="C182" s="53" t="s">
        <v>145</v>
      </c>
      <c r="D182">
        <v>89.4</v>
      </c>
      <c r="E182">
        <v>0.6</v>
      </c>
      <c r="F182" s="53" t="s">
        <v>142</v>
      </c>
      <c r="G182">
        <v>47</v>
      </c>
      <c r="H182" s="53" t="s">
        <v>149</v>
      </c>
      <c r="I182">
        <v>15</v>
      </c>
      <c r="J182">
        <v>0.3</v>
      </c>
      <c r="K182">
        <v>38</v>
      </c>
      <c r="L182">
        <v>8</v>
      </c>
      <c r="M182">
        <v>25</v>
      </c>
      <c r="N182">
        <v>11.4</v>
      </c>
    </row>
    <row r="183" spans="1:14" x14ac:dyDescent="0.25">
      <c r="A183" s="52">
        <v>42917</v>
      </c>
      <c r="B183" s="53" t="s">
        <v>154</v>
      </c>
      <c r="C183" s="53" t="s">
        <v>146</v>
      </c>
      <c r="D183">
        <v>102.9</v>
      </c>
      <c r="E183">
        <v>0</v>
      </c>
      <c r="F183" s="53" t="s">
        <v>147</v>
      </c>
      <c r="G183">
        <v>59</v>
      </c>
      <c r="H183" s="53" t="s">
        <v>149</v>
      </c>
      <c r="I183">
        <v>15</v>
      </c>
      <c r="J183">
        <v>0.5</v>
      </c>
      <c r="K183">
        <v>43</v>
      </c>
      <c r="L183">
        <v>8</v>
      </c>
      <c r="M183">
        <v>25</v>
      </c>
      <c r="N183">
        <v>21.5</v>
      </c>
    </row>
    <row r="184" spans="1:14" x14ac:dyDescent="0.25">
      <c r="A184" s="52">
        <v>42918</v>
      </c>
      <c r="B184" s="53" t="s">
        <v>154</v>
      </c>
      <c r="C184" s="53" t="s">
        <v>137</v>
      </c>
      <c r="D184">
        <v>93.4</v>
      </c>
      <c r="E184">
        <v>0</v>
      </c>
      <c r="F184" s="53" t="s">
        <v>147</v>
      </c>
      <c r="G184">
        <v>68</v>
      </c>
      <c r="H184" s="53" t="s">
        <v>149</v>
      </c>
      <c r="I184">
        <v>15</v>
      </c>
      <c r="J184">
        <v>0.5</v>
      </c>
      <c r="K184">
        <v>38</v>
      </c>
      <c r="L184">
        <v>8</v>
      </c>
      <c r="M184">
        <v>25</v>
      </c>
      <c r="N184">
        <v>19</v>
      </c>
    </row>
    <row r="185" spans="1:14" x14ac:dyDescent="0.25">
      <c r="A185" s="52">
        <v>42919</v>
      </c>
      <c r="B185" s="53" t="s">
        <v>154</v>
      </c>
      <c r="C185" s="53" t="s">
        <v>140</v>
      </c>
      <c r="D185">
        <v>81.5</v>
      </c>
      <c r="E185">
        <v>0.7</v>
      </c>
      <c r="F185" s="53" t="s">
        <v>142</v>
      </c>
      <c r="G185">
        <v>68</v>
      </c>
      <c r="H185" s="53" t="s">
        <v>149</v>
      </c>
      <c r="I185">
        <v>15</v>
      </c>
      <c r="J185">
        <v>0.5</v>
      </c>
      <c r="K185">
        <v>35</v>
      </c>
      <c r="L185">
        <v>8</v>
      </c>
      <c r="M185">
        <v>25</v>
      </c>
      <c r="N185">
        <v>17.5</v>
      </c>
    </row>
    <row r="186" spans="1:14" x14ac:dyDescent="0.25">
      <c r="A186" s="52">
        <v>42920</v>
      </c>
      <c r="B186" s="53" t="s">
        <v>154</v>
      </c>
      <c r="C186" s="53" t="s">
        <v>141</v>
      </c>
      <c r="D186">
        <v>84.2</v>
      </c>
      <c r="E186">
        <v>0</v>
      </c>
      <c r="F186" s="53" t="s">
        <v>147</v>
      </c>
      <c r="G186">
        <v>49</v>
      </c>
      <c r="H186" s="53" t="s">
        <v>149</v>
      </c>
      <c r="I186">
        <v>15</v>
      </c>
      <c r="J186">
        <v>0.5</v>
      </c>
      <c r="K186">
        <v>34</v>
      </c>
      <c r="L186">
        <v>8</v>
      </c>
      <c r="M186">
        <v>25</v>
      </c>
      <c r="N186">
        <v>17</v>
      </c>
    </row>
    <row r="187" spans="1:14" x14ac:dyDescent="0.25">
      <c r="A187" s="52">
        <v>42921</v>
      </c>
      <c r="B187" s="53" t="s">
        <v>154</v>
      </c>
      <c r="C187" s="53" t="s">
        <v>143</v>
      </c>
      <c r="D187">
        <v>73.599999999999994</v>
      </c>
      <c r="E187">
        <v>0</v>
      </c>
      <c r="F187" s="53" t="s">
        <v>147</v>
      </c>
      <c r="G187">
        <v>55</v>
      </c>
      <c r="H187" s="53" t="s">
        <v>149</v>
      </c>
      <c r="I187">
        <v>15</v>
      </c>
      <c r="J187">
        <v>0.5</v>
      </c>
      <c r="K187">
        <v>32</v>
      </c>
      <c r="L187">
        <v>8</v>
      </c>
      <c r="M187">
        <v>25</v>
      </c>
      <c r="N187">
        <v>16</v>
      </c>
    </row>
    <row r="188" spans="1:14" x14ac:dyDescent="0.25">
      <c r="A188" s="52">
        <v>42922</v>
      </c>
      <c r="B188" s="53" t="s">
        <v>154</v>
      </c>
      <c r="C188" s="53" t="s">
        <v>144</v>
      </c>
      <c r="D188">
        <v>91.7</v>
      </c>
      <c r="E188">
        <v>0</v>
      </c>
      <c r="F188" s="53" t="s">
        <v>147</v>
      </c>
      <c r="G188">
        <v>46</v>
      </c>
      <c r="H188" s="53" t="s">
        <v>149</v>
      </c>
      <c r="I188">
        <v>15</v>
      </c>
      <c r="J188">
        <v>0.5</v>
      </c>
      <c r="K188">
        <v>39</v>
      </c>
      <c r="L188">
        <v>8</v>
      </c>
      <c r="M188">
        <v>25</v>
      </c>
      <c r="N188">
        <v>19.5</v>
      </c>
    </row>
    <row r="189" spans="1:14" x14ac:dyDescent="0.25">
      <c r="A189" s="52">
        <v>42923</v>
      </c>
      <c r="B189" s="53" t="s">
        <v>154</v>
      </c>
      <c r="C189" s="53" t="s">
        <v>145</v>
      </c>
      <c r="D189">
        <v>82.5</v>
      </c>
      <c r="E189">
        <v>0</v>
      </c>
      <c r="F189" s="53" t="s">
        <v>147</v>
      </c>
      <c r="G189">
        <v>41</v>
      </c>
      <c r="H189" s="53" t="s">
        <v>149</v>
      </c>
      <c r="I189">
        <v>15</v>
      </c>
      <c r="J189">
        <v>0.5</v>
      </c>
      <c r="K189">
        <v>35</v>
      </c>
      <c r="L189">
        <v>8</v>
      </c>
      <c r="M189">
        <v>25</v>
      </c>
      <c r="N189">
        <v>17.5</v>
      </c>
    </row>
    <row r="190" spans="1:14" x14ac:dyDescent="0.25">
      <c r="A190" s="52">
        <v>42924</v>
      </c>
      <c r="B190" s="53" t="s">
        <v>154</v>
      </c>
      <c r="C190" s="53" t="s">
        <v>146</v>
      </c>
      <c r="D190">
        <v>83.2</v>
      </c>
      <c r="E190">
        <v>0</v>
      </c>
      <c r="F190" s="53" t="s">
        <v>147</v>
      </c>
      <c r="G190">
        <v>44</v>
      </c>
      <c r="H190" s="53" t="s">
        <v>149</v>
      </c>
      <c r="I190">
        <v>15</v>
      </c>
      <c r="J190">
        <v>0.5</v>
      </c>
      <c r="K190">
        <v>34</v>
      </c>
      <c r="L190">
        <v>8</v>
      </c>
      <c r="M190">
        <v>25</v>
      </c>
      <c r="N190">
        <v>17</v>
      </c>
    </row>
    <row r="191" spans="1:14" x14ac:dyDescent="0.25">
      <c r="A191" s="52">
        <v>42925</v>
      </c>
      <c r="B191" s="53" t="s">
        <v>154</v>
      </c>
      <c r="C191" s="53" t="s">
        <v>137</v>
      </c>
      <c r="D191">
        <v>77.900000000000006</v>
      </c>
      <c r="E191">
        <v>0</v>
      </c>
      <c r="F191" s="53" t="s">
        <v>147</v>
      </c>
      <c r="G191">
        <v>44</v>
      </c>
      <c r="H191" s="53" t="s">
        <v>149</v>
      </c>
      <c r="I191">
        <v>15</v>
      </c>
      <c r="J191">
        <v>0.5</v>
      </c>
      <c r="K191">
        <v>33</v>
      </c>
      <c r="L191">
        <v>8</v>
      </c>
      <c r="M191">
        <v>25</v>
      </c>
      <c r="N191">
        <v>16.5</v>
      </c>
    </row>
    <row r="192" spans="1:14" x14ac:dyDescent="0.25">
      <c r="A192" s="52">
        <v>42926</v>
      </c>
      <c r="B192" s="53" t="s">
        <v>154</v>
      </c>
      <c r="C192" s="53" t="s">
        <v>140</v>
      </c>
      <c r="D192">
        <v>98</v>
      </c>
      <c r="E192">
        <v>0</v>
      </c>
      <c r="F192" s="53" t="s">
        <v>147</v>
      </c>
      <c r="G192">
        <v>66</v>
      </c>
      <c r="H192" s="53" t="s">
        <v>149</v>
      </c>
      <c r="I192">
        <v>15</v>
      </c>
      <c r="J192">
        <v>0.5</v>
      </c>
      <c r="K192">
        <v>40</v>
      </c>
      <c r="L192">
        <v>8</v>
      </c>
      <c r="M192">
        <v>25</v>
      </c>
      <c r="N192">
        <v>20</v>
      </c>
    </row>
    <row r="193" spans="1:14" x14ac:dyDescent="0.25">
      <c r="A193" s="52">
        <v>42927</v>
      </c>
      <c r="B193" s="53" t="s">
        <v>154</v>
      </c>
      <c r="C193" s="53" t="s">
        <v>141</v>
      </c>
      <c r="D193">
        <v>83.5</v>
      </c>
      <c r="E193">
        <v>0</v>
      </c>
      <c r="F193" s="53" t="s">
        <v>147</v>
      </c>
      <c r="G193">
        <v>40</v>
      </c>
      <c r="H193" s="53" t="s">
        <v>142</v>
      </c>
      <c r="I193">
        <v>10</v>
      </c>
      <c r="J193">
        <v>0.5</v>
      </c>
      <c r="K193">
        <v>35</v>
      </c>
      <c r="L193">
        <v>8</v>
      </c>
      <c r="M193">
        <v>20</v>
      </c>
      <c r="N193">
        <v>17.5</v>
      </c>
    </row>
    <row r="194" spans="1:14" x14ac:dyDescent="0.25">
      <c r="A194" s="52">
        <v>42928</v>
      </c>
      <c r="B194" s="53" t="s">
        <v>154</v>
      </c>
      <c r="C194" s="53" t="s">
        <v>143</v>
      </c>
      <c r="D194">
        <v>80.2</v>
      </c>
      <c r="E194">
        <v>0</v>
      </c>
      <c r="F194" s="53" t="s">
        <v>147</v>
      </c>
      <c r="G194">
        <v>39</v>
      </c>
      <c r="H194" s="53" t="s">
        <v>142</v>
      </c>
      <c r="I194">
        <v>10</v>
      </c>
      <c r="J194">
        <v>0.5</v>
      </c>
      <c r="K194">
        <v>34</v>
      </c>
      <c r="L194">
        <v>8</v>
      </c>
      <c r="M194">
        <v>20</v>
      </c>
      <c r="N194">
        <v>17</v>
      </c>
    </row>
    <row r="195" spans="1:14" x14ac:dyDescent="0.25">
      <c r="A195" s="52">
        <v>42929</v>
      </c>
      <c r="B195" s="53" t="s">
        <v>154</v>
      </c>
      <c r="C195" s="53" t="s">
        <v>144</v>
      </c>
      <c r="D195">
        <v>78.900000000000006</v>
      </c>
      <c r="E195">
        <v>0</v>
      </c>
      <c r="F195" s="53" t="s">
        <v>147</v>
      </c>
      <c r="G195">
        <v>49</v>
      </c>
      <c r="H195" s="53" t="s">
        <v>149</v>
      </c>
      <c r="I195">
        <v>15</v>
      </c>
      <c r="J195">
        <v>0.5</v>
      </c>
      <c r="K195">
        <v>33</v>
      </c>
      <c r="L195">
        <v>8</v>
      </c>
      <c r="M195">
        <v>25</v>
      </c>
      <c r="N195">
        <v>16.5</v>
      </c>
    </row>
    <row r="196" spans="1:14" x14ac:dyDescent="0.25">
      <c r="A196" s="52">
        <v>42930</v>
      </c>
      <c r="B196" s="53" t="s">
        <v>154</v>
      </c>
      <c r="C196" s="53" t="s">
        <v>145</v>
      </c>
      <c r="D196">
        <v>92</v>
      </c>
      <c r="E196">
        <v>0</v>
      </c>
      <c r="F196" s="53" t="s">
        <v>147</v>
      </c>
      <c r="G196">
        <v>80</v>
      </c>
      <c r="H196" s="53" t="s">
        <v>149</v>
      </c>
      <c r="I196">
        <v>15</v>
      </c>
      <c r="J196">
        <v>0.5</v>
      </c>
      <c r="K196">
        <v>40</v>
      </c>
      <c r="L196">
        <v>8</v>
      </c>
      <c r="M196">
        <v>25</v>
      </c>
      <c r="N196">
        <v>20</v>
      </c>
    </row>
    <row r="197" spans="1:14" x14ac:dyDescent="0.25">
      <c r="A197" s="52">
        <v>42931</v>
      </c>
      <c r="B197" s="53" t="s">
        <v>154</v>
      </c>
      <c r="C197" s="53" t="s">
        <v>146</v>
      </c>
      <c r="D197">
        <v>82.5</v>
      </c>
      <c r="E197">
        <v>0</v>
      </c>
      <c r="F197" s="53" t="s">
        <v>147</v>
      </c>
      <c r="G197">
        <v>56</v>
      </c>
      <c r="H197" s="53" t="s">
        <v>149</v>
      </c>
      <c r="I197">
        <v>15</v>
      </c>
      <c r="J197">
        <v>0.5</v>
      </c>
      <c r="K197">
        <v>35</v>
      </c>
      <c r="L197">
        <v>8</v>
      </c>
      <c r="M197">
        <v>25</v>
      </c>
      <c r="N197">
        <v>17.5</v>
      </c>
    </row>
    <row r="198" spans="1:14" x14ac:dyDescent="0.25">
      <c r="A198" s="52">
        <v>42932</v>
      </c>
      <c r="B198" s="53" t="s">
        <v>154</v>
      </c>
      <c r="C198" s="53" t="s">
        <v>137</v>
      </c>
      <c r="D198">
        <v>79.2</v>
      </c>
      <c r="E198">
        <v>0</v>
      </c>
      <c r="F198" s="53" t="s">
        <v>147</v>
      </c>
      <c r="G198">
        <v>50</v>
      </c>
      <c r="H198" s="53" t="s">
        <v>149</v>
      </c>
      <c r="I198">
        <v>15</v>
      </c>
      <c r="J198">
        <v>0.5</v>
      </c>
      <c r="K198">
        <v>34</v>
      </c>
      <c r="L198">
        <v>8</v>
      </c>
      <c r="M198">
        <v>25</v>
      </c>
      <c r="N198">
        <v>17</v>
      </c>
    </row>
    <row r="199" spans="1:14" x14ac:dyDescent="0.25">
      <c r="A199" s="52">
        <v>42933</v>
      </c>
      <c r="B199" s="53" t="s">
        <v>154</v>
      </c>
      <c r="C199" s="53" t="s">
        <v>140</v>
      </c>
      <c r="D199">
        <v>80.900000000000006</v>
      </c>
      <c r="E199">
        <v>0</v>
      </c>
      <c r="F199" s="53" t="s">
        <v>147</v>
      </c>
      <c r="G199">
        <v>64</v>
      </c>
      <c r="H199" s="53" t="s">
        <v>149</v>
      </c>
      <c r="I199">
        <v>15</v>
      </c>
      <c r="J199">
        <v>0.5</v>
      </c>
      <c r="K199">
        <v>33</v>
      </c>
      <c r="L199">
        <v>8</v>
      </c>
      <c r="M199">
        <v>25</v>
      </c>
      <c r="N199">
        <v>16.5</v>
      </c>
    </row>
    <row r="200" spans="1:14" x14ac:dyDescent="0.25">
      <c r="A200" s="52">
        <v>42934</v>
      </c>
      <c r="B200" s="53" t="s">
        <v>154</v>
      </c>
      <c r="C200" s="53" t="s">
        <v>141</v>
      </c>
      <c r="D200">
        <v>99.3</v>
      </c>
      <c r="E200">
        <v>0</v>
      </c>
      <c r="F200" s="53" t="s">
        <v>147</v>
      </c>
      <c r="G200">
        <v>76</v>
      </c>
      <c r="H200" s="53" t="s">
        <v>149</v>
      </c>
      <c r="I200">
        <v>15</v>
      </c>
      <c r="J200">
        <v>0.5</v>
      </c>
      <c r="K200">
        <v>41</v>
      </c>
      <c r="L200">
        <v>8</v>
      </c>
      <c r="M200">
        <v>25</v>
      </c>
      <c r="N200">
        <v>20.5</v>
      </c>
    </row>
    <row r="201" spans="1:14" x14ac:dyDescent="0.25">
      <c r="A201" s="52">
        <v>42935</v>
      </c>
      <c r="B201" s="53" t="s">
        <v>154</v>
      </c>
      <c r="C201" s="53" t="s">
        <v>143</v>
      </c>
      <c r="D201">
        <v>83.8</v>
      </c>
      <c r="E201">
        <v>0</v>
      </c>
      <c r="F201" s="53" t="s">
        <v>147</v>
      </c>
      <c r="G201">
        <v>44</v>
      </c>
      <c r="H201" s="53" t="s">
        <v>149</v>
      </c>
      <c r="I201">
        <v>15</v>
      </c>
      <c r="J201">
        <v>0.5</v>
      </c>
      <c r="K201">
        <v>36</v>
      </c>
      <c r="L201">
        <v>8</v>
      </c>
      <c r="M201">
        <v>25</v>
      </c>
      <c r="N201">
        <v>18</v>
      </c>
    </row>
    <row r="202" spans="1:14" x14ac:dyDescent="0.25">
      <c r="A202" s="52">
        <v>42936</v>
      </c>
      <c r="B202" s="53" t="s">
        <v>154</v>
      </c>
      <c r="C202" s="53" t="s">
        <v>144</v>
      </c>
      <c r="D202">
        <v>86.5</v>
      </c>
      <c r="E202">
        <v>0</v>
      </c>
      <c r="F202" s="53" t="s">
        <v>147</v>
      </c>
      <c r="G202">
        <v>44</v>
      </c>
      <c r="H202" s="53" t="s">
        <v>149</v>
      </c>
      <c r="I202">
        <v>15</v>
      </c>
      <c r="J202">
        <v>0.5</v>
      </c>
      <c r="K202">
        <v>35</v>
      </c>
      <c r="L202">
        <v>8</v>
      </c>
      <c r="M202">
        <v>25</v>
      </c>
      <c r="N202">
        <v>17.5</v>
      </c>
    </row>
    <row r="203" spans="1:14" x14ac:dyDescent="0.25">
      <c r="A203" s="52">
        <v>42937</v>
      </c>
      <c r="B203" s="53" t="s">
        <v>154</v>
      </c>
      <c r="C203" s="53" t="s">
        <v>145</v>
      </c>
      <c r="D203">
        <v>76.900000000000006</v>
      </c>
      <c r="E203">
        <v>0</v>
      </c>
      <c r="F203" s="53" t="s">
        <v>147</v>
      </c>
      <c r="G203">
        <v>59</v>
      </c>
      <c r="H203" s="53" t="s">
        <v>149</v>
      </c>
      <c r="I203">
        <v>15</v>
      </c>
      <c r="J203">
        <v>0.5</v>
      </c>
      <c r="K203">
        <v>33</v>
      </c>
      <c r="L203">
        <v>8</v>
      </c>
      <c r="M203">
        <v>25</v>
      </c>
      <c r="N203">
        <v>16.5</v>
      </c>
    </row>
    <row r="204" spans="1:14" x14ac:dyDescent="0.25">
      <c r="A204" s="52">
        <v>42938</v>
      </c>
      <c r="B204" s="53" t="s">
        <v>154</v>
      </c>
      <c r="C204" s="53" t="s">
        <v>146</v>
      </c>
      <c r="D204">
        <v>99.6</v>
      </c>
      <c r="E204">
        <v>0.3</v>
      </c>
      <c r="F204" s="53" t="s">
        <v>142</v>
      </c>
      <c r="G204">
        <v>49</v>
      </c>
      <c r="H204" s="53" t="s">
        <v>149</v>
      </c>
      <c r="I204">
        <v>15</v>
      </c>
      <c r="J204">
        <v>0.5</v>
      </c>
      <c r="K204">
        <v>42</v>
      </c>
      <c r="L204">
        <v>8</v>
      </c>
      <c r="M204">
        <v>25</v>
      </c>
      <c r="N204">
        <v>21</v>
      </c>
    </row>
    <row r="205" spans="1:14" x14ac:dyDescent="0.25">
      <c r="A205" s="52">
        <v>42939</v>
      </c>
      <c r="B205" s="53" t="s">
        <v>154</v>
      </c>
      <c r="C205" s="53" t="s">
        <v>137</v>
      </c>
      <c r="D205">
        <v>89.1</v>
      </c>
      <c r="E205">
        <v>0.32</v>
      </c>
      <c r="F205" s="53" t="s">
        <v>142</v>
      </c>
      <c r="G205">
        <v>72</v>
      </c>
      <c r="H205" s="53" t="s">
        <v>149</v>
      </c>
      <c r="I205">
        <v>15</v>
      </c>
      <c r="J205">
        <v>0.5</v>
      </c>
      <c r="K205">
        <v>37</v>
      </c>
      <c r="L205">
        <v>8</v>
      </c>
      <c r="M205">
        <v>25</v>
      </c>
      <c r="N205">
        <v>18.5</v>
      </c>
    </row>
    <row r="206" spans="1:14" x14ac:dyDescent="0.25">
      <c r="A206" s="52">
        <v>42940</v>
      </c>
      <c r="B206" s="53" t="s">
        <v>154</v>
      </c>
      <c r="C206" s="53" t="s">
        <v>140</v>
      </c>
      <c r="D206">
        <v>83.5</v>
      </c>
      <c r="E206">
        <v>0</v>
      </c>
      <c r="F206" s="53" t="s">
        <v>147</v>
      </c>
      <c r="G206">
        <v>69</v>
      </c>
      <c r="H206" s="53" t="s">
        <v>149</v>
      </c>
      <c r="I206">
        <v>15</v>
      </c>
      <c r="J206">
        <v>0.5</v>
      </c>
      <c r="K206">
        <v>35</v>
      </c>
      <c r="L206">
        <v>8</v>
      </c>
      <c r="M206">
        <v>25</v>
      </c>
      <c r="N206">
        <v>17.5</v>
      </c>
    </row>
    <row r="207" spans="1:14" x14ac:dyDescent="0.25">
      <c r="A207" s="52">
        <v>42941</v>
      </c>
      <c r="B207" s="53" t="s">
        <v>154</v>
      </c>
      <c r="C207" s="53" t="s">
        <v>141</v>
      </c>
      <c r="D207">
        <v>79.900000000000006</v>
      </c>
      <c r="E207">
        <v>0</v>
      </c>
      <c r="F207" s="53" t="s">
        <v>147</v>
      </c>
      <c r="G207">
        <v>64</v>
      </c>
      <c r="H207" s="53" t="s">
        <v>149</v>
      </c>
      <c r="I207">
        <v>15</v>
      </c>
      <c r="J207">
        <v>0.5</v>
      </c>
      <c r="K207">
        <v>33</v>
      </c>
      <c r="L207">
        <v>8</v>
      </c>
      <c r="M207">
        <v>25</v>
      </c>
      <c r="N207">
        <v>16.5</v>
      </c>
    </row>
    <row r="208" spans="1:14" x14ac:dyDescent="0.25">
      <c r="A208" s="52">
        <v>42942</v>
      </c>
      <c r="B208" s="53" t="s">
        <v>154</v>
      </c>
      <c r="C208" s="53" t="s">
        <v>143</v>
      </c>
      <c r="D208">
        <v>76.599999999999994</v>
      </c>
      <c r="E208">
        <v>0</v>
      </c>
      <c r="F208" s="53" t="s">
        <v>147</v>
      </c>
      <c r="G208">
        <v>37</v>
      </c>
      <c r="H208" s="53" t="s">
        <v>142</v>
      </c>
      <c r="I208">
        <v>10</v>
      </c>
      <c r="J208">
        <v>0.5</v>
      </c>
      <c r="K208">
        <v>32</v>
      </c>
      <c r="L208">
        <v>8</v>
      </c>
      <c r="M208">
        <v>20</v>
      </c>
      <c r="N208">
        <v>16</v>
      </c>
    </row>
    <row r="209" spans="1:14" x14ac:dyDescent="0.25">
      <c r="A209" s="52">
        <v>42943</v>
      </c>
      <c r="B209" s="53" t="s">
        <v>154</v>
      </c>
      <c r="C209" s="53" t="s">
        <v>144</v>
      </c>
      <c r="D209">
        <v>97.9</v>
      </c>
      <c r="E209">
        <v>0</v>
      </c>
      <c r="F209" s="53" t="s">
        <v>147</v>
      </c>
      <c r="G209">
        <v>74</v>
      </c>
      <c r="H209" s="53" t="s">
        <v>149</v>
      </c>
      <c r="I209">
        <v>15</v>
      </c>
      <c r="J209">
        <v>0.5</v>
      </c>
      <c r="K209">
        <v>43</v>
      </c>
      <c r="L209">
        <v>8</v>
      </c>
      <c r="M209">
        <v>25</v>
      </c>
      <c r="N209">
        <v>21.5</v>
      </c>
    </row>
    <row r="210" spans="1:14" x14ac:dyDescent="0.25">
      <c r="A210" s="52">
        <v>42944</v>
      </c>
      <c r="B210" s="53" t="s">
        <v>154</v>
      </c>
      <c r="C210" s="53" t="s">
        <v>145</v>
      </c>
      <c r="D210">
        <v>87.4</v>
      </c>
      <c r="E210">
        <v>0</v>
      </c>
      <c r="F210" s="53" t="s">
        <v>147</v>
      </c>
      <c r="G210">
        <v>58</v>
      </c>
      <c r="H210" s="53" t="s">
        <v>149</v>
      </c>
      <c r="I210">
        <v>15</v>
      </c>
      <c r="J210">
        <v>0.5</v>
      </c>
      <c r="K210">
        <v>38</v>
      </c>
      <c r="L210">
        <v>8</v>
      </c>
      <c r="M210">
        <v>25</v>
      </c>
      <c r="N210">
        <v>19</v>
      </c>
    </row>
    <row r="211" spans="1:14" x14ac:dyDescent="0.25">
      <c r="A211" s="52">
        <v>42945</v>
      </c>
      <c r="B211" s="53" t="s">
        <v>154</v>
      </c>
      <c r="C211" s="53" t="s">
        <v>146</v>
      </c>
      <c r="D211">
        <v>85.5</v>
      </c>
      <c r="E211">
        <v>0.68</v>
      </c>
      <c r="F211" s="53" t="s">
        <v>142</v>
      </c>
      <c r="G211">
        <v>50</v>
      </c>
      <c r="H211" s="53" t="s">
        <v>149</v>
      </c>
      <c r="I211">
        <v>15</v>
      </c>
      <c r="J211">
        <v>0.5</v>
      </c>
      <c r="K211">
        <v>35</v>
      </c>
      <c r="L211">
        <v>8</v>
      </c>
      <c r="M211">
        <v>25</v>
      </c>
      <c r="N211">
        <v>17.5</v>
      </c>
    </row>
    <row r="212" spans="1:14" x14ac:dyDescent="0.25">
      <c r="A212" s="52">
        <v>42946</v>
      </c>
      <c r="B212" s="53" t="s">
        <v>154</v>
      </c>
      <c r="C212" s="53" t="s">
        <v>137</v>
      </c>
      <c r="D212">
        <v>78.2</v>
      </c>
      <c r="E212">
        <v>0</v>
      </c>
      <c r="F212" s="53" t="s">
        <v>147</v>
      </c>
      <c r="G212">
        <v>52</v>
      </c>
      <c r="H212" s="53" t="s">
        <v>149</v>
      </c>
      <c r="I212">
        <v>15</v>
      </c>
      <c r="J212">
        <v>0.5</v>
      </c>
      <c r="K212">
        <v>34</v>
      </c>
      <c r="L212">
        <v>8</v>
      </c>
      <c r="M212">
        <v>25</v>
      </c>
      <c r="N212">
        <v>17</v>
      </c>
    </row>
    <row r="213" spans="1:14" x14ac:dyDescent="0.25">
      <c r="A213" s="52">
        <v>42947</v>
      </c>
      <c r="B213" s="53" t="s">
        <v>154</v>
      </c>
      <c r="C213" s="53" t="s">
        <v>140</v>
      </c>
      <c r="D213">
        <v>74.599999999999994</v>
      </c>
      <c r="E213">
        <v>0</v>
      </c>
      <c r="F213" s="53" t="s">
        <v>147</v>
      </c>
      <c r="G213">
        <v>38</v>
      </c>
      <c r="H213" s="53" t="s">
        <v>142</v>
      </c>
      <c r="I213">
        <v>10</v>
      </c>
      <c r="J213">
        <v>0.5</v>
      </c>
      <c r="K213">
        <v>32</v>
      </c>
      <c r="L213">
        <v>8</v>
      </c>
      <c r="M213">
        <v>20</v>
      </c>
      <c r="N213">
        <v>16</v>
      </c>
    </row>
    <row r="214" spans="1:14" x14ac:dyDescent="0.25">
      <c r="A214" s="52">
        <v>42948</v>
      </c>
      <c r="B214" s="53" t="s">
        <v>155</v>
      </c>
      <c r="C214" s="53" t="s">
        <v>141</v>
      </c>
      <c r="D214">
        <v>75.599999999999994</v>
      </c>
      <c r="E214">
        <v>0</v>
      </c>
      <c r="F214" s="53" t="s">
        <v>147</v>
      </c>
      <c r="G214">
        <v>56</v>
      </c>
      <c r="H214" s="53" t="s">
        <v>149</v>
      </c>
      <c r="I214">
        <v>15</v>
      </c>
      <c r="J214">
        <v>0.5</v>
      </c>
      <c r="K214">
        <v>32</v>
      </c>
      <c r="L214">
        <v>8</v>
      </c>
      <c r="M214">
        <v>25</v>
      </c>
      <c r="N214">
        <v>16</v>
      </c>
    </row>
    <row r="215" spans="1:14" x14ac:dyDescent="0.25">
      <c r="A215" s="52">
        <v>42949</v>
      </c>
      <c r="B215" s="53" t="s">
        <v>155</v>
      </c>
      <c r="C215" s="53" t="s">
        <v>143</v>
      </c>
      <c r="D215">
        <v>76.3</v>
      </c>
      <c r="E215">
        <v>0</v>
      </c>
      <c r="F215" s="53" t="s">
        <v>147</v>
      </c>
      <c r="G215">
        <v>48</v>
      </c>
      <c r="H215" s="53" t="s">
        <v>149</v>
      </c>
      <c r="I215">
        <v>15</v>
      </c>
      <c r="J215">
        <v>0.5</v>
      </c>
      <c r="K215">
        <v>31</v>
      </c>
      <c r="L215">
        <v>8</v>
      </c>
      <c r="M215">
        <v>25</v>
      </c>
      <c r="N215">
        <v>15.5</v>
      </c>
    </row>
    <row r="216" spans="1:14" x14ac:dyDescent="0.25">
      <c r="A216" s="52">
        <v>42950</v>
      </c>
      <c r="B216" s="53" t="s">
        <v>155</v>
      </c>
      <c r="C216" s="53" t="s">
        <v>144</v>
      </c>
      <c r="D216">
        <v>75</v>
      </c>
      <c r="E216">
        <v>0</v>
      </c>
      <c r="F216" s="53" t="s">
        <v>147</v>
      </c>
      <c r="G216">
        <v>52</v>
      </c>
      <c r="H216" s="53" t="s">
        <v>149</v>
      </c>
      <c r="I216">
        <v>15</v>
      </c>
      <c r="J216">
        <v>0.5</v>
      </c>
      <c r="K216">
        <v>30</v>
      </c>
      <c r="L216">
        <v>8</v>
      </c>
      <c r="M216">
        <v>25</v>
      </c>
      <c r="N216">
        <v>15</v>
      </c>
    </row>
    <row r="217" spans="1:14" x14ac:dyDescent="0.25">
      <c r="A217" s="52">
        <v>42951</v>
      </c>
      <c r="B217" s="53" t="s">
        <v>155</v>
      </c>
      <c r="C217" s="53" t="s">
        <v>145</v>
      </c>
      <c r="D217">
        <v>70.7</v>
      </c>
      <c r="E217">
        <v>0</v>
      </c>
      <c r="F217" s="53" t="s">
        <v>147</v>
      </c>
      <c r="G217">
        <v>34</v>
      </c>
      <c r="H217" s="53" t="s">
        <v>142</v>
      </c>
      <c r="I217">
        <v>10</v>
      </c>
      <c r="J217">
        <v>0.5</v>
      </c>
      <c r="K217">
        <v>29</v>
      </c>
      <c r="L217">
        <v>8</v>
      </c>
      <c r="M217">
        <v>20</v>
      </c>
      <c r="N217">
        <v>14.5</v>
      </c>
    </row>
    <row r="218" spans="1:14" x14ac:dyDescent="0.25">
      <c r="A218" s="52">
        <v>42952</v>
      </c>
      <c r="B218" s="53" t="s">
        <v>155</v>
      </c>
      <c r="C218" s="53" t="s">
        <v>146</v>
      </c>
      <c r="D218">
        <v>76.599999999999994</v>
      </c>
      <c r="E218">
        <v>0</v>
      </c>
      <c r="F218" s="53" t="s">
        <v>147</v>
      </c>
      <c r="G218">
        <v>66</v>
      </c>
      <c r="H218" s="53" t="s">
        <v>149</v>
      </c>
      <c r="I218">
        <v>15</v>
      </c>
      <c r="J218">
        <v>0.5</v>
      </c>
      <c r="K218">
        <v>32</v>
      </c>
      <c r="L218">
        <v>8</v>
      </c>
      <c r="M218">
        <v>25</v>
      </c>
      <c r="N218">
        <v>16</v>
      </c>
    </row>
    <row r="219" spans="1:14" x14ac:dyDescent="0.25">
      <c r="A219" s="52">
        <v>42953</v>
      </c>
      <c r="B219" s="53" t="s">
        <v>155</v>
      </c>
      <c r="C219" s="53" t="s">
        <v>137</v>
      </c>
      <c r="D219">
        <v>77.3</v>
      </c>
      <c r="E219">
        <v>0</v>
      </c>
      <c r="F219" s="53" t="s">
        <v>147</v>
      </c>
      <c r="G219">
        <v>36</v>
      </c>
      <c r="H219" s="53" t="s">
        <v>142</v>
      </c>
      <c r="I219">
        <v>10</v>
      </c>
      <c r="J219">
        <v>0.5</v>
      </c>
      <c r="K219">
        <v>31</v>
      </c>
      <c r="L219">
        <v>8</v>
      </c>
      <c r="M219">
        <v>20</v>
      </c>
      <c r="N219">
        <v>15.5</v>
      </c>
    </row>
    <row r="220" spans="1:14" x14ac:dyDescent="0.25">
      <c r="A220" s="52">
        <v>42954</v>
      </c>
      <c r="B220" s="53" t="s">
        <v>155</v>
      </c>
      <c r="C220" s="53" t="s">
        <v>140</v>
      </c>
      <c r="D220">
        <v>75</v>
      </c>
      <c r="E220">
        <v>0</v>
      </c>
      <c r="F220" s="53" t="s">
        <v>147</v>
      </c>
      <c r="G220">
        <v>38</v>
      </c>
      <c r="H220" s="53" t="s">
        <v>142</v>
      </c>
      <c r="I220">
        <v>10</v>
      </c>
      <c r="J220">
        <v>0.5</v>
      </c>
      <c r="K220">
        <v>30</v>
      </c>
      <c r="L220">
        <v>8</v>
      </c>
      <c r="M220">
        <v>20</v>
      </c>
      <c r="N220">
        <v>15</v>
      </c>
    </row>
    <row r="221" spans="1:14" x14ac:dyDescent="0.25">
      <c r="A221" s="52">
        <v>42955</v>
      </c>
      <c r="B221" s="53" t="s">
        <v>155</v>
      </c>
      <c r="C221" s="53" t="s">
        <v>141</v>
      </c>
      <c r="D221">
        <v>68.7</v>
      </c>
      <c r="E221">
        <v>0.42</v>
      </c>
      <c r="F221" s="53" t="s">
        <v>142</v>
      </c>
      <c r="G221">
        <v>50</v>
      </c>
      <c r="H221" s="53" t="s">
        <v>149</v>
      </c>
      <c r="I221">
        <v>15</v>
      </c>
      <c r="J221">
        <v>0.5</v>
      </c>
      <c r="K221">
        <v>29</v>
      </c>
      <c r="L221">
        <v>8</v>
      </c>
      <c r="M221">
        <v>25</v>
      </c>
      <c r="N221">
        <v>14.5</v>
      </c>
    </row>
    <row r="222" spans="1:14" x14ac:dyDescent="0.25">
      <c r="A222" s="52">
        <v>42956</v>
      </c>
      <c r="B222" s="53" t="s">
        <v>155</v>
      </c>
      <c r="C222" s="53" t="s">
        <v>143</v>
      </c>
      <c r="D222">
        <v>76.599999999999994</v>
      </c>
      <c r="E222">
        <v>0.54</v>
      </c>
      <c r="F222" s="53" t="s">
        <v>142</v>
      </c>
      <c r="G222">
        <v>55</v>
      </c>
      <c r="H222" s="53" t="s">
        <v>149</v>
      </c>
      <c r="I222">
        <v>15</v>
      </c>
      <c r="J222">
        <v>0.5</v>
      </c>
      <c r="K222">
        <v>32</v>
      </c>
      <c r="L222">
        <v>8</v>
      </c>
      <c r="M222">
        <v>25</v>
      </c>
      <c r="N222">
        <v>16</v>
      </c>
    </row>
    <row r="223" spans="1:14" x14ac:dyDescent="0.25">
      <c r="A223" s="52">
        <v>42957</v>
      </c>
      <c r="B223" s="53" t="s">
        <v>155</v>
      </c>
      <c r="C223" s="53" t="s">
        <v>144</v>
      </c>
      <c r="D223">
        <v>70.3</v>
      </c>
      <c r="E223">
        <v>0.68</v>
      </c>
      <c r="F223" s="53" t="s">
        <v>142</v>
      </c>
      <c r="G223">
        <v>56</v>
      </c>
      <c r="H223" s="53" t="s">
        <v>149</v>
      </c>
      <c r="I223">
        <v>15</v>
      </c>
      <c r="J223">
        <v>0.5</v>
      </c>
      <c r="K223">
        <v>31</v>
      </c>
      <c r="L223">
        <v>8</v>
      </c>
      <c r="M223">
        <v>25</v>
      </c>
      <c r="N223">
        <v>15.5</v>
      </c>
    </row>
    <row r="224" spans="1:14" x14ac:dyDescent="0.25">
      <c r="A224" s="52">
        <v>42958</v>
      </c>
      <c r="B224" s="53" t="s">
        <v>155</v>
      </c>
      <c r="C224" s="53" t="s">
        <v>145</v>
      </c>
      <c r="D224">
        <v>75</v>
      </c>
      <c r="E224">
        <v>1.02</v>
      </c>
      <c r="F224" s="53" t="s">
        <v>138</v>
      </c>
      <c r="G224">
        <v>49</v>
      </c>
      <c r="H224" s="53" t="s">
        <v>149</v>
      </c>
      <c r="I224">
        <v>15</v>
      </c>
      <c r="J224">
        <v>0.5</v>
      </c>
      <c r="K224">
        <v>30</v>
      </c>
      <c r="L224">
        <v>8</v>
      </c>
      <c r="M224">
        <v>25</v>
      </c>
      <c r="N224">
        <v>15</v>
      </c>
    </row>
    <row r="225" spans="1:14" x14ac:dyDescent="0.25">
      <c r="A225" s="52">
        <v>42959</v>
      </c>
      <c r="B225" s="53" t="s">
        <v>155</v>
      </c>
      <c r="C225" s="53" t="s">
        <v>146</v>
      </c>
      <c r="D225">
        <v>67.7</v>
      </c>
      <c r="E225">
        <v>0</v>
      </c>
      <c r="F225" s="53" t="s">
        <v>147</v>
      </c>
      <c r="G225">
        <v>43</v>
      </c>
      <c r="H225" s="53" t="s">
        <v>149</v>
      </c>
      <c r="I225">
        <v>15</v>
      </c>
      <c r="J225">
        <v>0.5</v>
      </c>
      <c r="K225">
        <v>29</v>
      </c>
      <c r="L225">
        <v>8</v>
      </c>
      <c r="M225">
        <v>25</v>
      </c>
      <c r="N225">
        <v>14.5</v>
      </c>
    </row>
    <row r="226" spans="1:14" x14ac:dyDescent="0.25">
      <c r="A226" s="52">
        <v>42960</v>
      </c>
      <c r="B226" s="53" t="s">
        <v>155</v>
      </c>
      <c r="C226" s="53" t="s">
        <v>137</v>
      </c>
      <c r="D226">
        <v>67.7</v>
      </c>
      <c r="E226">
        <v>0</v>
      </c>
      <c r="F226" s="53" t="s">
        <v>147</v>
      </c>
      <c r="G226">
        <v>54</v>
      </c>
      <c r="H226" s="53" t="s">
        <v>149</v>
      </c>
      <c r="I226">
        <v>15</v>
      </c>
      <c r="J226">
        <v>0.5</v>
      </c>
      <c r="K226">
        <v>29</v>
      </c>
      <c r="L226">
        <v>8</v>
      </c>
      <c r="M226">
        <v>25</v>
      </c>
      <c r="N226">
        <v>14.5</v>
      </c>
    </row>
    <row r="227" spans="1:14" x14ac:dyDescent="0.25">
      <c r="A227" s="52">
        <v>42961</v>
      </c>
      <c r="B227" s="53" t="s">
        <v>155</v>
      </c>
      <c r="C227" s="53" t="s">
        <v>140</v>
      </c>
      <c r="D227">
        <v>72.599999999999994</v>
      </c>
      <c r="E227">
        <v>0</v>
      </c>
      <c r="F227" s="53" t="s">
        <v>147</v>
      </c>
      <c r="G227">
        <v>43</v>
      </c>
      <c r="H227" s="53" t="s">
        <v>149</v>
      </c>
      <c r="I227">
        <v>15</v>
      </c>
      <c r="J227">
        <v>0.5</v>
      </c>
      <c r="K227">
        <v>32</v>
      </c>
      <c r="L227">
        <v>8</v>
      </c>
      <c r="M227">
        <v>25</v>
      </c>
      <c r="N227">
        <v>16</v>
      </c>
    </row>
    <row r="228" spans="1:14" x14ac:dyDescent="0.25">
      <c r="A228" s="52">
        <v>42962</v>
      </c>
      <c r="B228" s="53" t="s">
        <v>155</v>
      </c>
      <c r="C228" s="53" t="s">
        <v>141</v>
      </c>
      <c r="D228">
        <v>74.3</v>
      </c>
      <c r="E228">
        <v>0</v>
      </c>
      <c r="F228" s="53" t="s">
        <v>147</v>
      </c>
      <c r="G228">
        <v>44</v>
      </c>
      <c r="H228" s="53" t="s">
        <v>149</v>
      </c>
      <c r="I228">
        <v>15</v>
      </c>
      <c r="J228">
        <v>0.5</v>
      </c>
      <c r="K228">
        <v>31</v>
      </c>
      <c r="L228">
        <v>8</v>
      </c>
      <c r="M228">
        <v>25</v>
      </c>
      <c r="N228">
        <v>15.5</v>
      </c>
    </row>
    <row r="229" spans="1:14" x14ac:dyDescent="0.25">
      <c r="A229" s="52">
        <v>42963</v>
      </c>
      <c r="B229" s="53" t="s">
        <v>155</v>
      </c>
      <c r="C229" s="53" t="s">
        <v>143</v>
      </c>
      <c r="D229">
        <v>71</v>
      </c>
      <c r="E229">
        <v>0</v>
      </c>
      <c r="F229" s="53" t="s">
        <v>147</v>
      </c>
      <c r="G229">
        <v>49</v>
      </c>
      <c r="H229" s="53" t="s">
        <v>149</v>
      </c>
      <c r="I229">
        <v>15</v>
      </c>
      <c r="J229">
        <v>0.5</v>
      </c>
      <c r="K229">
        <v>30</v>
      </c>
      <c r="L229">
        <v>8</v>
      </c>
      <c r="M229">
        <v>25</v>
      </c>
      <c r="N229">
        <v>15</v>
      </c>
    </row>
    <row r="230" spans="1:14" x14ac:dyDescent="0.25">
      <c r="A230" s="52">
        <v>42964</v>
      </c>
      <c r="B230" s="53" t="s">
        <v>155</v>
      </c>
      <c r="C230" s="53" t="s">
        <v>144</v>
      </c>
      <c r="D230">
        <v>68</v>
      </c>
      <c r="E230">
        <v>0</v>
      </c>
      <c r="F230" s="53" t="s">
        <v>147</v>
      </c>
      <c r="G230">
        <v>42</v>
      </c>
      <c r="H230" s="53" t="s">
        <v>149</v>
      </c>
      <c r="I230">
        <v>15</v>
      </c>
      <c r="J230">
        <v>0.5</v>
      </c>
      <c r="K230">
        <v>30</v>
      </c>
      <c r="L230">
        <v>8</v>
      </c>
      <c r="M230">
        <v>25</v>
      </c>
      <c r="N230">
        <v>15</v>
      </c>
    </row>
    <row r="231" spans="1:14" x14ac:dyDescent="0.25">
      <c r="A231" s="52">
        <v>42965</v>
      </c>
      <c r="B231" s="53" t="s">
        <v>155</v>
      </c>
      <c r="C231" s="53" t="s">
        <v>145</v>
      </c>
      <c r="D231">
        <v>65.7</v>
      </c>
      <c r="E231">
        <v>0.3</v>
      </c>
      <c r="F231" s="53" t="s">
        <v>142</v>
      </c>
      <c r="G231">
        <v>45</v>
      </c>
      <c r="H231" s="53" t="s">
        <v>149</v>
      </c>
      <c r="I231">
        <v>15</v>
      </c>
      <c r="J231">
        <v>0.5</v>
      </c>
      <c r="K231">
        <v>29</v>
      </c>
      <c r="L231">
        <v>8</v>
      </c>
      <c r="M231">
        <v>25</v>
      </c>
      <c r="N231">
        <v>14.5</v>
      </c>
    </row>
    <row r="232" spans="1:14" x14ac:dyDescent="0.25">
      <c r="A232" s="52">
        <v>42966</v>
      </c>
      <c r="B232" s="53" t="s">
        <v>155</v>
      </c>
      <c r="C232" s="53" t="s">
        <v>146</v>
      </c>
      <c r="D232">
        <v>79.599999999999994</v>
      </c>
      <c r="E232">
        <v>0.2</v>
      </c>
      <c r="F232" s="53" t="s">
        <v>142</v>
      </c>
      <c r="G232">
        <v>58</v>
      </c>
      <c r="H232" s="53" t="s">
        <v>149</v>
      </c>
      <c r="I232">
        <v>15</v>
      </c>
      <c r="J232">
        <v>0.5</v>
      </c>
      <c r="K232">
        <v>32</v>
      </c>
      <c r="L232">
        <v>8</v>
      </c>
      <c r="M232">
        <v>25</v>
      </c>
      <c r="N232">
        <v>16</v>
      </c>
    </row>
    <row r="233" spans="1:14" x14ac:dyDescent="0.25">
      <c r="A233" s="52">
        <v>42967</v>
      </c>
      <c r="B233" s="53" t="s">
        <v>155</v>
      </c>
      <c r="C233" s="53" t="s">
        <v>137</v>
      </c>
      <c r="D233">
        <v>74.3</v>
      </c>
      <c r="E233">
        <v>0</v>
      </c>
      <c r="F233" s="53" t="s">
        <v>147</v>
      </c>
      <c r="G233">
        <v>53</v>
      </c>
      <c r="H233" s="53" t="s">
        <v>149</v>
      </c>
      <c r="I233">
        <v>15</v>
      </c>
      <c r="J233">
        <v>0.5</v>
      </c>
      <c r="K233">
        <v>31</v>
      </c>
      <c r="L233">
        <v>8</v>
      </c>
      <c r="M233">
        <v>25</v>
      </c>
      <c r="N233">
        <v>15.5</v>
      </c>
    </row>
    <row r="234" spans="1:14" x14ac:dyDescent="0.25">
      <c r="A234" s="52">
        <v>42968</v>
      </c>
      <c r="B234" s="53" t="s">
        <v>155</v>
      </c>
      <c r="C234" s="53" t="s">
        <v>140</v>
      </c>
      <c r="D234">
        <v>68</v>
      </c>
      <c r="E234">
        <v>0</v>
      </c>
      <c r="F234" s="53" t="s">
        <v>147</v>
      </c>
      <c r="G234">
        <v>58</v>
      </c>
      <c r="H234" s="53" t="s">
        <v>149</v>
      </c>
      <c r="I234">
        <v>15</v>
      </c>
      <c r="J234">
        <v>0.5</v>
      </c>
      <c r="K234">
        <v>30</v>
      </c>
      <c r="L234">
        <v>8</v>
      </c>
      <c r="M234">
        <v>25</v>
      </c>
      <c r="N234">
        <v>15</v>
      </c>
    </row>
    <row r="235" spans="1:14" x14ac:dyDescent="0.25">
      <c r="A235" s="52">
        <v>42969</v>
      </c>
      <c r="B235" s="53" t="s">
        <v>155</v>
      </c>
      <c r="C235" s="53" t="s">
        <v>141</v>
      </c>
      <c r="D235">
        <v>69</v>
      </c>
      <c r="E235">
        <v>0</v>
      </c>
      <c r="F235" s="53" t="s">
        <v>147</v>
      </c>
      <c r="G235">
        <v>55</v>
      </c>
      <c r="H235" s="53" t="s">
        <v>149</v>
      </c>
      <c r="I235">
        <v>15</v>
      </c>
      <c r="J235">
        <v>0.5</v>
      </c>
      <c r="K235">
        <v>30</v>
      </c>
      <c r="L235">
        <v>8</v>
      </c>
      <c r="M235">
        <v>25</v>
      </c>
      <c r="N235">
        <v>15</v>
      </c>
    </row>
    <row r="236" spans="1:14" x14ac:dyDescent="0.25">
      <c r="A236" s="52">
        <v>42970</v>
      </c>
      <c r="B236" s="53" t="s">
        <v>155</v>
      </c>
      <c r="C236" s="53" t="s">
        <v>143</v>
      </c>
      <c r="D236">
        <v>70.7</v>
      </c>
      <c r="E236">
        <v>0</v>
      </c>
      <c r="F236" s="53" t="s">
        <v>147</v>
      </c>
      <c r="G236">
        <v>33</v>
      </c>
      <c r="H236" s="53" t="s">
        <v>142</v>
      </c>
      <c r="I236">
        <v>10</v>
      </c>
      <c r="J236">
        <v>0.5</v>
      </c>
      <c r="K236">
        <v>29</v>
      </c>
      <c r="L236">
        <v>8</v>
      </c>
      <c r="M236">
        <v>20</v>
      </c>
      <c r="N236">
        <v>14.5</v>
      </c>
    </row>
    <row r="237" spans="1:14" x14ac:dyDescent="0.25">
      <c r="A237" s="52">
        <v>42971</v>
      </c>
      <c r="B237" s="53" t="s">
        <v>155</v>
      </c>
      <c r="C237" s="53" t="s">
        <v>144</v>
      </c>
      <c r="D237">
        <v>74.599999999999994</v>
      </c>
      <c r="E237">
        <v>0</v>
      </c>
      <c r="F237" s="53" t="s">
        <v>147</v>
      </c>
      <c r="G237">
        <v>64</v>
      </c>
      <c r="H237" s="53" t="s">
        <v>149</v>
      </c>
      <c r="I237">
        <v>15</v>
      </c>
      <c r="J237">
        <v>0.5</v>
      </c>
      <c r="K237">
        <v>32</v>
      </c>
      <c r="L237">
        <v>8</v>
      </c>
      <c r="M237">
        <v>25</v>
      </c>
      <c r="N237">
        <v>16</v>
      </c>
    </row>
    <row r="238" spans="1:14" x14ac:dyDescent="0.25">
      <c r="A238" s="52">
        <v>42972</v>
      </c>
      <c r="B238" s="53" t="s">
        <v>155</v>
      </c>
      <c r="C238" s="53" t="s">
        <v>145</v>
      </c>
      <c r="D238">
        <v>71</v>
      </c>
      <c r="E238">
        <v>0</v>
      </c>
      <c r="F238" s="53" t="s">
        <v>147</v>
      </c>
      <c r="G238">
        <v>55</v>
      </c>
      <c r="H238" s="53" t="s">
        <v>149</v>
      </c>
      <c r="I238">
        <v>15</v>
      </c>
      <c r="J238">
        <v>0.5</v>
      </c>
      <c r="K238">
        <v>30</v>
      </c>
      <c r="L238">
        <v>8</v>
      </c>
      <c r="M238">
        <v>25</v>
      </c>
      <c r="N238">
        <v>15</v>
      </c>
    </row>
    <row r="239" spans="1:14" x14ac:dyDescent="0.25">
      <c r="A239" s="52">
        <v>42973</v>
      </c>
      <c r="B239" s="53" t="s">
        <v>155</v>
      </c>
      <c r="C239" s="53" t="s">
        <v>146</v>
      </c>
      <c r="D239">
        <v>70</v>
      </c>
      <c r="E239">
        <v>0</v>
      </c>
      <c r="F239" s="53" t="s">
        <v>147</v>
      </c>
      <c r="G239">
        <v>46</v>
      </c>
      <c r="H239" s="53" t="s">
        <v>149</v>
      </c>
      <c r="I239">
        <v>15</v>
      </c>
      <c r="J239">
        <v>0.5</v>
      </c>
      <c r="K239">
        <v>30</v>
      </c>
      <c r="L239">
        <v>8</v>
      </c>
      <c r="M239">
        <v>25</v>
      </c>
      <c r="N239">
        <v>15</v>
      </c>
    </row>
    <row r="240" spans="1:14" x14ac:dyDescent="0.25">
      <c r="A240" s="52">
        <v>42974</v>
      </c>
      <c r="B240" s="53" t="s">
        <v>155</v>
      </c>
      <c r="C240" s="53" t="s">
        <v>137</v>
      </c>
      <c r="D240">
        <v>65.7</v>
      </c>
      <c r="E240">
        <v>0</v>
      </c>
      <c r="F240" s="53" t="s">
        <v>147</v>
      </c>
      <c r="G240">
        <v>45</v>
      </c>
      <c r="H240" s="53" t="s">
        <v>149</v>
      </c>
      <c r="I240">
        <v>15</v>
      </c>
      <c r="J240">
        <v>0.5</v>
      </c>
      <c r="K240">
        <v>29</v>
      </c>
      <c r="L240">
        <v>8</v>
      </c>
      <c r="M240">
        <v>25</v>
      </c>
      <c r="N240">
        <v>14.5</v>
      </c>
    </row>
    <row r="241" spans="1:14" x14ac:dyDescent="0.25">
      <c r="A241" s="52">
        <v>42975</v>
      </c>
      <c r="B241" s="53" t="s">
        <v>155</v>
      </c>
      <c r="C241" s="53" t="s">
        <v>140</v>
      </c>
      <c r="D241">
        <v>77.599999999999994</v>
      </c>
      <c r="E241">
        <v>0.1</v>
      </c>
      <c r="F241" s="53" t="s">
        <v>142</v>
      </c>
      <c r="G241">
        <v>49</v>
      </c>
      <c r="H241" s="53" t="s">
        <v>149</v>
      </c>
      <c r="I241">
        <v>15</v>
      </c>
      <c r="J241">
        <v>0.5</v>
      </c>
      <c r="K241">
        <v>32</v>
      </c>
      <c r="L241">
        <v>8</v>
      </c>
      <c r="M241">
        <v>25</v>
      </c>
      <c r="N241">
        <v>16</v>
      </c>
    </row>
    <row r="242" spans="1:14" x14ac:dyDescent="0.25">
      <c r="A242" s="52">
        <v>42976</v>
      </c>
      <c r="B242" s="53" t="s">
        <v>155</v>
      </c>
      <c r="C242" s="53" t="s">
        <v>141</v>
      </c>
      <c r="D242">
        <v>75</v>
      </c>
      <c r="E242">
        <v>0</v>
      </c>
      <c r="F242" s="53" t="s">
        <v>147</v>
      </c>
      <c r="G242">
        <v>40</v>
      </c>
      <c r="H242" s="53" t="s">
        <v>142</v>
      </c>
      <c r="I242">
        <v>10</v>
      </c>
      <c r="J242">
        <v>0.5</v>
      </c>
      <c r="K242">
        <v>30</v>
      </c>
      <c r="L242">
        <v>8</v>
      </c>
      <c r="M242">
        <v>20</v>
      </c>
      <c r="N242">
        <v>15</v>
      </c>
    </row>
    <row r="243" spans="1:14" x14ac:dyDescent="0.25">
      <c r="A243" s="52">
        <v>42977</v>
      </c>
      <c r="B243" s="53" t="s">
        <v>155</v>
      </c>
      <c r="C243" s="53" t="s">
        <v>143</v>
      </c>
      <c r="D243">
        <v>72</v>
      </c>
      <c r="E243">
        <v>0</v>
      </c>
      <c r="F243" s="53" t="s">
        <v>147</v>
      </c>
      <c r="G243">
        <v>51</v>
      </c>
      <c r="H243" s="53" t="s">
        <v>149</v>
      </c>
      <c r="I243">
        <v>15</v>
      </c>
      <c r="J243">
        <v>0.5</v>
      </c>
      <c r="K243">
        <v>30</v>
      </c>
      <c r="L243">
        <v>8</v>
      </c>
      <c r="M243">
        <v>25</v>
      </c>
      <c r="N243">
        <v>15</v>
      </c>
    </row>
    <row r="244" spans="1:14" x14ac:dyDescent="0.25">
      <c r="A244" s="52">
        <v>42978</v>
      </c>
      <c r="B244" s="53" t="s">
        <v>155</v>
      </c>
      <c r="C244" s="53" t="s">
        <v>144</v>
      </c>
      <c r="D244">
        <v>67.7</v>
      </c>
      <c r="E244">
        <v>0</v>
      </c>
      <c r="F244" s="53" t="s">
        <v>147</v>
      </c>
      <c r="G244">
        <v>58</v>
      </c>
      <c r="H244" s="53" t="s">
        <v>149</v>
      </c>
      <c r="I244">
        <v>15</v>
      </c>
      <c r="J244">
        <v>0.5</v>
      </c>
      <c r="K244">
        <v>29</v>
      </c>
      <c r="L244">
        <v>8</v>
      </c>
      <c r="M244">
        <v>25</v>
      </c>
      <c r="N244">
        <v>14.5</v>
      </c>
    </row>
    <row r="245" spans="1:14" x14ac:dyDescent="0.25">
      <c r="A245" s="52">
        <v>42979</v>
      </c>
      <c r="B245" s="53" t="s">
        <v>156</v>
      </c>
      <c r="C245" s="53" t="s">
        <v>145</v>
      </c>
      <c r="D245">
        <v>71.7</v>
      </c>
      <c r="E245">
        <v>0</v>
      </c>
      <c r="F245" s="53" t="s">
        <v>147</v>
      </c>
      <c r="G245">
        <v>41</v>
      </c>
      <c r="H245" s="53" t="s">
        <v>149</v>
      </c>
      <c r="I245">
        <v>15</v>
      </c>
      <c r="J245">
        <v>0.3</v>
      </c>
      <c r="K245">
        <v>29</v>
      </c>
      <c r="L245">
        <v>8</v>
      </c>
      <c r="M245">
        <v>25</v>
      </c>
      <c r="N245">
        <v>8.6999999999999993</v>
      </c>
    </row>
    <row r="246" spans="1:14" x14ac:dyDescent="0.25">
      <c r="A246" s="52">
        <v>42980</v>
      </c>
      <c r="B246" s="53" t="s">
        <v>156</v>
      </c>
      <c r="C246" s="53" t="s">
        <v>146</v>
      </c>
      <c r="D246">
        <v>67.400000000000006</v>
      </c>
      <c r="E246">
        <v>0</v>
      </c>
      <c r="F246" s="53" t="s">
        <v>147</v>
      </c>
      <c r="G246">
        <v>53</v>
      </c>
      <c r="H246" s="53" t="s">
        <v>149</v>
      </c>
      <c r="I246">
        <v>15</v>
      </c>
      <c r="J246">
        <v>0.3</v>
      </c>
      <c r="K246">
        <v>28</v>
      </c>
      <c r="L246">
        <v>8</v>
      </c>
      <c r="M246">
        <v>25</v>
      </c>
      <c r="N246">
        <v>8.4</v>
      </c>
    </row>
    <row r="247" spans="1:14" x14ac:dyDescent="0.25">
      <c r="A247" s="52">
        <v>42981</v>
      </c>
      <c r="B247" s="53" t="s">
        <v>156</v>
      </c>
      <c r="C247" s="53" t="s">
        <v>137</v>
      </c>
      <c r="D247">
        <v>61.1</v>
      </c>
      <c r="E247">
        <v>0</v>
      </c>
      <c r="F247" s="53" t="s">
        <v>147</v>
      </c>
      <c r="G247">
        <v>50</v>
      </c>
      <c r="H247" s="53" t="s">
        <v>149</v>
      </c>
      <c r="I247">
        <v>15</v>
      </c>
      <c r="J247">
        <v>0.3</v>
      </c>
      <c r="K247">
        <v>27</v>
      </c>
      <c r="L247">
        <v>8</v>
      </c>
      <c r="M247">
        <v>25</v>
      </c>
      <c r="N247">
        <v>8.1</v>
      </c>
    </row>
    <row r="248" spans="1:14" x14ac:dyDescent="0.25">
      <c r="A248" s="52">
        <v>42982</v>
      </c>
      <c r="B248" s="53" t="s">
        <v>156</v>
      </c>
      <c r="C248" s="53" t="s">
        <v>140</v>
      </c>
      <c r="D248">
        <v>59.8</v>
      </c>
      <c r="E248">
        <v>0.74</v>
      </c>
      <c r="F248" s="53" t="s">
        <v>142</v>
      </c>
      <c r="G248">
        <v>54</v>
      </c>
      <c r="H248" s="53" t="s">
        <v>149</v>
      </c>
      <c r="I248">
        <v>15</v>
      </c>
      <c r="J248">
        <v>0.3</v>
      </c>
      <c r="K248">
        <v>26</v>
      </c>
      <c r="L248">
        <v>8</v>
      </c>
      <c r="M248">
        <v>15</v>
      </c>
      <c r="N248">
        <v>7.8</v>
      </c>
    </row>
    <row r="249" spans="1:14" x14ac:dyDescent="0.25">
      <c r="A249" s="52">
        <v>42983</v>
      </c>
      <c r="B249" s="53" t="s">
        <v>156</v>
      </c>
      <c r="C249" s="53" t="s">
        <v>141</v>
      </c>
      <c r="D249">
        <v>61.8</v>
      </c>
      <c r="E249">
        <v>0.71</v>
      </c>
      <c r="F249" s="53" t="s">
        <v>142</v>
      </c>
      <c r="G249">
        <v>39</v>
      </c>
      <c r="H249" s="53" t="s">
        <v>142</v>
      </c>
      <c r="I249">
        <v>10</v>
      </c>
      <c r="J249">
        <v>0.3</v>
      </c>
      <c r="K249">
        <v>26</v>
      </c>
      <c r="L249">
        <v>8</v>
      </c>
      <c r="M249">
        <v>10</v>
      </c>
      <c r="N249">
        <v>7.8</v>
      </c>
    </row>
    <row r="250" spans="1:14" x14ac:dyDescent="0.25">
      <c r="A250" s="52">
        <v>42984</v>
      </c>
      <c r="B250" s="53" t="s">
        <v>156</v>
      </c>
      <c r="C250" s="53" t="s">
        <v>143</v>
      </c>
      <c r="D250">
        <v>71.7</v>
      </c>
      <c r="E250">
        <v>0</v>
      </c>
      <c r="F250" s="53" t="s">
        <v>147</v>
      </c>
      <c r="G250">
        <v>60</v>
      </c>
      <c r="H250" s="53" t="s">
        <v>149</v>
      </c>
      <c r="I250">
        <v>15</v>
      </c>
      <c r="J250">
        <v>0.3</v>
      </c>
      <c r="K250">
        <v>29</v>
      </c>
      <c r="L250">
        <v>8</v>
      </c>
      <c r="M250">
        <v>25</v>
      </c>
      <c r="N250">
        <v>8.6999999999999993</v>
      </c>
    </row>
    <row r="251" spans="1:14" x14ac:dyDescent="0.25">
      <c r="A251" s="52">
        <v>42985</v>
      </c>
      <c r="B251" s="53" t="s">
        <v>156</v>
      </c>
      <c r="C251" s="53" t="s">
        <v>144</v>
      </c>
      <c r="D251">
        <v>68.400000000000006</v>
      </c>
      <c r="E251">
        <v>0</v>
      </c>
      <c r="F251" s="53" t="s">
        <v>147</v>
      </c>
      <c r="G251">
        <v>49</v>
      </c>
      <c r="H251" s="53" t="s">
        <v>149</v>
      </c>
      <c r="I251">
        <v>15</v>
      </c>
      <c r="J251">
        <v>0.3</v>
      </c>
      <c r="K251">
        <v>28</v>
      </c>
      <c r="L251">
        <v>8</v>
      </c>
      <c r="M251">
        <v>25</v>
      </c>
      <c r="N251">
        <v>8.4</v>
      </c>
    </row>
    <row r="252" spans="1:14" x14ac:dyDescent="0.25">
      <c r="A252" s="52">
        <v>42986</v>
      </c>
      <c r="B252" s="53" t="s">
        <v>156</v>
      </c>
      <c r="C252" s="53" t="s">
        <v>145</v>
      </c>
      <c r="D252">
        <v>65.099999999999994</v>
      </c>
      <c r="E252">
        <v>0.71</v>
      </c>
      <c r="F252" s="53" t="s">
        <v>142</v>
      </c>
      <c r="G252">
        <v>37</v>
      </c>
      <c r="H252" s="53" t="s">
        <v>142</v>
      </c>
      <c r="I252">
        <v>10</v>
      </c>
      <c r="J252">
        <v>0.3</v>
      </c>
      <c r="K252">
        <v>27</v>
      </c>
      <c r="L252">
        <v>8</v>
      </c>
      <c r="M252">
        <v>20</v>
      </c>
      <c r="N252">
        <v>8.1</v>
      </c>
    </row>
    <row r="253" spans="1:14" x14ac:dyDescent="0.25">
      <c r="A253" s="52">
        <v>42987</v>
      </c>
      <c r="B253" s="53" t="s">
        <v>156</v>
      </c>
      <c r="C253" s="53" t="s">
        <v>146</v>
      </c>
      <c r="D253">
        <v>64.8</v>
      </c>
      <c r="E253">
        <v>0.77</v>
      </c>
      <c r="F253" s="53" t="s">
        <v>142</v>
      </c>
      <c r="G253">
        <v>45</v>
      </c>
      <c r="H253" s="53" t="s">
        <v>149</v>
      </c>
      <c r="I253">
        <v>15</v>
      </c>
      <c r="J253">
        <v>0.3</v>
      </c>
      <c r="K253">
        <v>26</v>
      </c>
      <c r="L253">
        <v>8</v>
      </c>
      <c r="M253">
        <v>15</v>
      </c>
      <c r="N253">
        <v>7.8</v>
      </c>
    </row>
    <row r="254" spans="1:14" x14ac:dyDescent="0.25">
      <c r="A254" s="52">
        <v>42988</v>
      </c>
      <c r="B254" s="53" t="s">
        <v>156</v>
      </c>
      <c r="C254" s="53" t="s">
        <v>137</v>
      </c>
      <c r="D254">
        <v>61.8</v>
      </c>
      <c r="E254">
        <v>0.74</v>
      </c>
      <c r="F254" s="53" t="s">
        <v>142</v>
      </c>
      <c r="G254">
        <v>50</v>
      </c>
      <c r="H254" s="53" t="s">
        <v>149</v>
      </c>
      <c r="I254">
        <v>15</v>
      </c>
      <c r="J254">
        <v>0.3</v>
      </c>
      <c r="K254">
        <v>26</v>
      </c>
      <c r="L254">
        <v>8</v>
      </c>
      <c r="M254">
        <v>15</v>
      </c>
      <c r="N254">
        <v>7.8</v>
      </c>
    </row>
    <row r="255" spans="1:14" x14ac:dyDescent="0.25">
      <c r="A255" s="52">
        <v>42989</v>
      </c>
      <c r="B255" s="53" t="s">
        <v>156</v>
      </c>
      <c r="C255" s="53" t="s">
        <v>140</v>
      </c>
      <c r="D255">
        <v>68.400000000000006</v>
      </c>
      <c r="E255">
        <v>0</v>
      </c>
      <c r="F255" s="53" t="s">
        <v>147</v>
      </c>
      <c r="G255">
        <v>38</v>
      </c>
      <c r="H255" s="53" t="s">
        <v>142</v>
      </c>
      <c r="I255">
        <v>10</v>
      </c>
      <c r="J255">
        <v>0.3</v>
      </c>
      <c r="K255">
        <v>28</v>
      </c>
      <c r="L255">
        <v>8</v>
      </c>
      <c r="M255">
        <v>20</v>
      </c>
      <c r="N255">
        <v>8.4</v>
      </c>
    </row>
    <row r="256" spans="1:14" x14ac:dyDescent="0.25">
      <c r="A256" s="52">
        <v>42990</v>
      </c>
      <c r="B256" s="53" t="s">
        <v>156</v>
      </c>
      <c r="C256" s="53" t="s">
        <v>141</v>
      </c>
      <c r="D256">
        <v>61.1</v>
      </c>
      <c r="E256">
        <v>0.71</v>
      </c>
      <c r="F256" s="53" t="s">
        <v>142</v>
      </c>
      <c r="G256">
        <v>36</v>
      </c>
      <c r="H256" s="53" t="s">
        <v>142</v>
      </c>
      <c r="I256">
        <v>10</v>
      </c>
      <c r="J256">
        <v>0.3</v>
      </c>
      <c r="K256">
        <v>27</v>
      </c>
      <c r="L256">
        <v>8</v>
      </c>
      <c r="M256">
        <v>20</v>
      </c>
      <c r="N256">
        <v>8.1</v>
      </c>
    </row>
    <row r="257" spans="1:14" x14ac:dyDescent="0.25">
      <c r="A257" s="52">
        <v>42991</v>
      </c>
      <c r="B257" s="53" t="s">
        <v>156</v>
      </c>
      <c r="C257" s="53" t="s">
        <v>143</v>
      </c>
      <c r="D257">
        <v>64.8</v>
      </c>
      <c r="E257">
        <v>0.71</v>
      </c>
      <c r="F257" s="53" t="s">
        <v>142</v>
      </c>
      <c r="G257">
        <v>42</v>
      </c>
      <c r="H257" s="53" t="s">
        <v>149</v>
      </c>
      <c r="I257">
        <v>15</v>
      </c>
      <c r="J257">
        <v>0.3</v>
      </c>
      <c r="K257">
        <v>26</v>
      </c>
      <c r="L257">
        <v>8</v>
      </c>
      <c r="M257">
        <v>15</v>
      </c>
      <c r="N257">
        <v>7.8</v>
      </c>
    </row>
    <row r="258" spans="1:14" x14ac:dyDescent="0.25">
      <c r="A258" s="52">
        <v>42992</v>
      </c>
      <c r="B258" s="53" t="s">
        <v>156</v>
      </c>
      <c r="C258" s="53" t="s">
        <v>144</v>
      </c>
      <c r="D258">
        <v>63.8</v>
      </c>
      <c r="E258">
        <v>0.71</v>
      </c>
      <c r="F258" s="53" t="s">
        <v>142</v>
      </c>
      <c r="G258">
        <v>29</v>
      </c>
      <c r="H258" s="53" t="s">
        <v>142</v>
      </c>
      <c r="I258">
        <v>10</v>
      </c>
      <c r="J258">
        <v>0.3</v>
      </c>
      <c r="K258">
        <v>26</v>
      </c>
      <c r="L258">
        <v>8</v>
      </c>
      <c r="M258">
        <v>10</v>
      </c>
      <c r="N258">
        <v>7.8</v>
      </c>
    </row>
    <row r="259" spans="1:14" x14ac:dyDescent="0.25">
      <c r="A259" s="52">
        <v>42993</v>
      </c>
      <c r="B259" s="53" t="s">
        <v>156</v>
      </c>
      <c r="C259" s="53" t="s">
        <v>145</v>
      </c>
      <c r="D259">
        <v>63.4</v>
      </c>
      <c r="E259">
        <v>0</v>
      </c>
      <c r="F259" s="53" t="s">
        <v>147</v>
      </c>
      <c r="G259">
        <v>41</v>
      </c>
      <c r="H259" s="53" t="s">
        <v>149</v>
      </c>
      <c r="I259">
        <v>15</v>
      </c>
      <c r="J259">
        <v>0.3</v>
      </c>
      <c r="K259">
        <v>28</v>
      </c>
      <c r="L259">
        <v>8</v>
      </c>
      <c r="M259">
        <v>25</v>
      </c>
      <c r="N259">
        <v>8.4</v>
      </c>
    </row>
    <row r="260" spans="1:14" x14ac:dyDescent="0.25">
      <c r="A260" s="52">
        <v>42994</v>
      </c>
      <c r="B260" s="53" t="s">
        <v>156</v>
      </c>
      <c r="C260" s="53" t="s">
        <v>146</v>
      </c>
      <c r="D260">
        <v>68.099999999999994</v>
      </c>
      <c r="E260">
        <v>0</v>
      </c>
      <c r="F260" s="53" t="s">
        <v>147</v>
      </c>
      <c r="G260">
        <v>37</v>
      </c>
      <c r="H260" s="53" t="s">
        <v>142</v>
      </c>
      <c r="I260">
        <v>10</v>
      </c>
      <c r="J260">
        <v>0.3</v>
      </c>
      <c r="K260">
        <v>27</v>
      </c>
      <c r="L260">
        <v>8</v>
      </c>
      <c r="M260">
        <v>20</v>
      </c>
      <c r="N260">
        <v>8.1</v>
      </c>
    </row>
    <row r="261" spans="1:14" x14ac:dyDescent="0.25">
      <c r="A261" s="52">
        <v>42995</v>
      </c>
      <c r="B261" s="53" t="s">
        <v>156</v>
      </c>
      <c r="C261" s="53" t="s">
        <v>137</v>
      </c>
      <c r="D261">
        <v>59.8</v>
      </c>
      <c r="E261">
        <v>0.71</v>
      </c>
      <c r="F261" s="53" t="s">
        <v>142</v>
      </c>
      <c r="G261">
        <v>53</v>
      </c>
      <c r="H261" s="53" t="s">
        <v>149</v>
      </c>
      <c r="I261">
        <v>15</v>
      </c>
      <c r="J261">
        <v>0.3</v>
      </c>
      <c r="K261">
        <v>26</v>
      </c>
      <c r="L261">
        <v>8</v>
      </c>
      <c r="M261">
        <v>15</v>
      </c>
      <c r="N261">
        <v>7.8</v>
      </c>
    </row>
    <row r="262" spans="1:14" x14ac:dyDescent="0.25">
      <c r="A262" s="52">
        <v>42996</v>
      </c>
      <c r="B262" s="53" t="s">
        <v>156</v>
      </c>
      <c r="C262" s="53" t="s">
        <v>140</v>
      </c>
      <c r="D262">
        <v>64.8</v>
      </c>
      <c r="E262">
        <v>0.71</v>
      </c>
      <c r="F262" s="53" t="s">
        <v>142</v>
      </c>
      <c r="G262">
        <v>37</v>
      </c>
      <c r="H262" s="53" t="s">
        <v>142</v>
      </c>
      <c r="I262">
        <v>10</v>
      </c>
      <c r="J262">
        <v>0.3</v>
      </c>
      <c r="K262">
        <v>26</v>
      </c>
      <c r="L262">
        <v>8</v>
      </c>
      <c r="M262">
        <v>10</v>
      </c>
      <c r="N262">
        <v>7.8</v>
      </c>
    </row>
    <row r="263" spans="1:14" x14ac:dyDescent="0.25">
      <c r="A263" s="52">
        <v>42997</v>
      </c>
      <c r="B263" s="53" t="s">
        <v>156</v>
      </c>
      <c r="C263" s="53" t="s">
        <v>141</v>
      </c>
      <c r="D263">
        <v>67.400000000000006</v>
      </c>
      <c r="E263">
        <v>0</v>
      </c>
      <c r="F263" s="53" t="s">
        <v>147</v>
      </c>
      <c r="G263">
        <v>48</v>
      </c>
      <c r="H263" s="53" t="s">
        <v>149</v>
      </c>
      <c r="I263">
        <v>15</v>
      </c>
      <c r="J263">
        <v>0.3</v>
      </c>
      <c r="K263">
        <v>28</v>
      </c>
      <c r="L263">
        <v>8</v>
      </c>
      <c r="M263">
        <v>25</v>
      </c>
      <c r="N263">
        <v>8.4</v>
      </c>
    </row>
    <row r="264" spans="1:14" x14ac:dyDescent="0.25">
      <c r="A264" s="52">
        <v>42998</v>
      </c>
      <c r="B264" s="53" t="s">
        <v>156</v>
      </c>
      <c r="C264" s="53" t="s">
        <v>143</v>
      </c>
      <c r="D264">
        <v>67.099999999999994</v>
      </c>
      <c r="E264">
        <v>0</v>
      </c>
      <c r="F264" s="53" t="s">
        <v>147</v>
      </c>
      <c r="G264">
        <v>52</v>
      </c>
      <c r="H264" s="53" t="s">
        <v>149</v>
      </c>
      <c r="I264">
        <v>15</v>
      </c>
      <c r="J264">
        <v>0.3</v>
      </c>
      <c r="K264">
        <v>27</v>
      </c>
      <c r="L264">
        <v>8</v>
      </c>
      <c r="M264">
        <v>25</v>
      </c>
      <c r="N264">
        <v>8.1</v>
      </c>
    </row>
    <row r="265" spans="1:14" x14ac:dyDescent="0.25">
      <c r="A265" s="52">
        <v>42999</v>
      </c>
      <c r="B265" s="53" t="s">
        <v>156</v>
      </c>
      <c r="C265" s="53" t="s">
        <v>144</v>
      </c>
      <c r="D265">
        <v>59.8</v>
      </c>
      <c r="E265">
        <v>0.71</v>
      </c>
      <c r="F265" s="53" t="s">
        <v>142</v>
      </c>
      <c r="G265">
        <v>42</v>
      </c>
      <c r="H265" s="53" t="s">
        <v>149</v>
      </c>
      <c r="I265">
        <v>15</v>
      </c>
      <c r="J265">
        <v>0.3</v>
      </c>
      <c r="K265">
        <v>26</v>
      </c>
      <c r="L265">
        <v>8</v>
      </c>
      <c r="M265">
        <v>15</v>
      </c>
      <c r="N265">
        <v>7.8</v>
      </c>
    </row>
    <row r="266" spans="1:14" x14ac:dyDescent="0.25">
      <c r="A266" s="52">
        <v>43000</v>
      </c>
      <c r="B266" s="53" t="s">
        <v>156</v>
      </c>
      <c r="C266" s="53" t="s">
        <v>145</v>
      </c>
      <c r="D266">
        <v>64.8</v>
      </c>
      <c r="E266">
        <v>0.74</v>
      </c>
      <c r="F266" s="53" t="s">
        <v>142</v>
      </c>
      <c r="G266">
        <v>34</v>
      </c>
      <c r="H266" s="53" t="s">
        <v>142</v>
      </c>
      <c r="I266">
        <v>10</v>
      </c>
      <c r="J266">
        <v>0.3</v>
      </c>
      <c r="K266">
        <v>26</v>
      </c>
      <c r="L266">
        <v>8</v>
      </c>
      <c r="M266">
        <v>10</v>
      </c>
      <c r="N266">
        <v>7.8</v>
      </c>
    </row>
    <row r="267" spans="1:14" x14ac:dyDescent="0.25">
      <c r="A267" s="52">
        <v>43001</v>
      </c>
      <c r="B267" s="53" t="s">
        <v>156</v>
      </c>
      <c r="C267" s="53" t="s">
        <v>146</v>
      </c>
      <c r="D267">
        <v>63.4</v>
      </c>
      <c r="E267">
        <v>0.71</v>
      </c>
      <c r="F267" s="53" t="s">
        <v>142</v>
      </c>
      <c r="G267">
        <v>39</v>
      </c>
      <c r="H267" s="53" t="s">
        <v>142</v>
      </c>
      <c r="I267">
        <v>10</v>
      </c>
      <c r="J267">
        <v>0.3</v>
      </c>
      <c r="K267">
        <v>28</v>
      </c>
      <c r="L267">
        <v>8</v>
      </c>
      <c r="M267">
        <v>20</v>
      </c>
      <c r="N267">
        <v>8.4</v>
      </c>
    </row>
    <row r="268" spans="1:14" x14ac:dyDescent="0.25">
      <c r="A268" s="52">
        <v>43002</v>
      </c>
      <c r="B268" s="53" t="s">
        <v>156</v>
      </c>
      <c r="C268" s="53" t="s">
        <v>137</v>
      </c>
      <c r="D268">
        <v>63.4</v>
      </c>
      <c r="E268">
        <v>0.71</v>
      </c>
      <c r="F268" s="53" t="s">
        <v>142</v>
      </c>
      <c r="G268">
        <v>43</v>
      </c>
      <c r="H268" s="53" t="s">
        <v>149</v>
      </c>
      <c r="I268">
        <v>15</v>
      </c>
      <c r="J268">
        <v>0.3</v>
      </c>
      <c r="K268">
        <v>28</v>
      </c>
      <c r="L268">
        <v>8</v>
      </c>
      <c r="M268">
        <v>25</v>
      </c>
      <c r="N268">
        <v>8.4</v>
      </c>
    </row>
    <row r="269" spans="1:14" x14ac:dyDescent="0.25">
      <c r="A269" s="52">
        <v>43003</v>
      </c>
      <c r="B269" s="53" t="s">
        <v>156</v>
      </c>
      <c r="C269" s="53" t="s">
        <v>140</v>
      </c>
      <c r="D269">
        <v>61.1</v>
      </c>
      <c r="E269">
        <v>0.71</v>
      </c>
      <c r="F269" s="53" t="s">
        <v>142</v>
      </c>
      <c r="G269">
        <v>33</v>
      </c>
      <c r="H269" s="53" t="s">
        <v>142</v>
      </c>
      <c r="I269">
        <v>10</v>
      </c>
      <c r="J269">
        <v>0.3</v>
      </c>
      <c r="K269">
        <v>27</v>
      </c>
      <c r="L269">
        <v>8</v>
      </c>
      <c r="M269">
        <v>20</v>
      </c>
      <c r="N269">
        <v>8.1</v>
      </c>
    </row>
    <row r="270" spans="1:14" x14ac:dyDescent="0.25">
      <c r="A270" s="52">
        <v>43004</v>
      </c>
      <c r="B270" s="53" t="s">
        <v>156</v>
      </c>
      <c r="C270" s="53" t="s">
        <v>141</v>
      </c>
      <c r="D270">
        <v>61.8</v>
      </c>
      <c r="E270">
        <v>0.77</v>
      </c>
      <c r="F270" s="53" t="s">
        <v>142</v>
      </c>
      <c r="G270">
        <v>51</v>
      </c>
      <c r="H270" s="53" t="s">
        <v>149</v>
      </c>
      <c r="I270">
        <v>15</v>
      </c>
      <c r="J270">
        <v>0.3</v>
      </c>
      <c r="K270">
        <v>26</v>
      </c>
      <c r="L270">
        <v>8</v>
      </c>
      <c r="M270">
        <v>15</v>
      </c>
      <c r="N270">
        <v>7.8</v>
      </c>
    </row>
    <row r="271" spans="1:14" x14ac:dyDescent="0.25">
      <c r="A271" s="52">
        <v>43005</v>
      </c>
      <c r="B271" s="53" t="s">
        <v>156</v>
      </c>
      <c r="C271" s="53" t="s">
        <v>143</v>
      </c>
      <c r="D271">
        <v>70.7</v>
      </c>
      <c r="E271">
        <v>0</v>
      </c>
      <c r="F271" s="53" t="s">
        <v>147</v>
      </c>
      <c r="G271">
        <v>51</v>
      </c>
      <c r="H271" s="53" t="s">
        <v>149</v>
      </c>
      <c r="I271">
        <v>15</v>
      </c>
      <c r="J271">
        <v>0.3</v>
      </c>
      <c r="K271">
        <v>29</v>
      </c>
      <c r="L271">
        <v>8</v>
      </c>
      <c r="M271">
        <v>25</v>
      </c>
      <c r="N271">
        <v>8.6999999999999993</v>
      </c>
    </row>
    <row r="272" spans="1:14" x14ac:dyDescent="0.25">
      <c r="A272" s="52">
        <v>43006</v>
      </c>
      <c r="B272" s="53" t="s">
        <v>156</v>
      </c>
      <c r="C272" s="53" t="s">
        <v>144</v>
      </c>
      <c r="D272">
        <v>67.400000000000006</v>
      </c>
      <c r="E272">
        <v>0</v>
      </c>
      <c r="F272" s="53" t="s">
        <v>147</v>
      </c>
      <c r="G272">
        <v>38</v>
      </c>
      <c r="H272" s="53" t="s">
        <v>142</v>
      </c>
      <c r="I272">
        <v>10</v>
      </c>
      <c r="J272">
        <v>0.3</v>
      </c>
      <c r="K272">
        <v>28</v>
      </c>
      <c r="L272">
        <v>8</v>
      </c>
      <c r="M272">
        <v>20</v>
      </c>
      <c r="N272">
        <v>8.4</v>
      </c>
    </row>
    <row r="273" spans="1:14" x14ac:dyDescent="0.25">
      <c r="A273" s="52">
        <v>43007</v>
      </c>
      <c r="B273" s="53" t="s">
        <v>156</v>
      </c>
      <c r="C273" s="53" t="s">
        <v>145</v>
      </c>
      <c r="D273">
        <v>66.099999999999994</v>
      </c>
      <c r="E273">
        <v>0.71</v>
      </c>
      <c r="F273" s="53" t="s">
        <v>142</v>
      </c>
      <c r="G273">
        <v>48</v>
      </c>
      <c r="H273" s="53" t="s">
        <v>149</v>
      </c>
      <c r="I273">
        <v>15</v>
      </c>
      <c r="J273">
        <v>0.3</v>
      </c>
      <c r="K273">
        <v>27</v>
      </c>
      <c r="L273">
        <v>8</v>
      </c>
      <c r="M273">
        <v>25</v>
      </c>
      <c r="N273">
        <v>8.1</v>
      </c>
    </row>
    <row r="274" spans="1:14" x14ac:dyDescent="0.25">
      <c r="A274" s="52">
        <v>43008</v>
      </c>
      <c r="B274" s="53" t="s">
        <v>156</v>
      </c>
      <c r="C274" s="53" t="s">
        <v>146</v>
      </c>
      <c r="D274">
        <v>64.8</v>
      </c>
      <c r="E274">
        <v>0.74</v>
      </c>
      <c r="F274" s="53" t="s">
        <v>142</v>
      </c>
      <c r="G274">
        <v>29</v>
      </c>
      <c r="H274" s="53" t="s">
        <v>142</v>
      </c>
      <c r="I274">
        <v>10</v>
      </c>
      <c r="J274">
        <v>0.3</v>
      </c>
      <c r="K274">
        <v>26</v>
      </c>
      <c r="L274">
        <v>8</v>
      </c>
      <c r="M274">
        <v>10</v>
      </c>
      <c r="N274">
        <v>7.8</v>
      </c>
    </row>
    <row r="275" spans="1:14" x14ac:dyDescent="0.25">
      <c r="A275" s="52">
        <v>43009</v>
      </c>
      <c r="B275" s="53" t="s">
        <v>157</v>
      </c>
      <c r="C275" s="53" t="s">
        <v>137</v>
      </c>
      <c r="D275">
        <v>56.5</v>
      </c>
      <c r="E275">
        <v>0.8</v>
      </c>
      <c r="F275" s="53" t="s">
        <v>142</v>
      </c>
      <c r="G275">
        <v>43</v>
      </c>
      <c r="H275" s="53" t="s">
        <v>149</v>
      </c>
      <c r="I275">
        <v>15</v>
      </c>
      <c r="J275">
        <v>0.3</v>
      </c>
      <c r="K275">
        <v>25</v>
      </c>
      <c r="L275">
        <v>8</v>
      </c>
      <c r="M275">
        <v>15</v>
      </c>
      <c r="N275">
        <v>7.5</v>
      </c>
    </row>
    <row r="276" spans="1:14" x14ac:dyDescent="0.25">
      <c r="A276" s="52">
        <v>43010</v>
      </c>
      <c r="B276" s="53" t="s">
        <v>157</v>
      </c>
      <c r="C276" s="53" t="s">
        <v>140</v>
      </c>
      <c r="D276">
        <v>58.5</v>
      </c>
      <c r="E276">
        <v>0.74</v>
      </c>
      <c r="F276" s="53" t="s">
        <v>142</v>
      </c>
      <c r="G276">
        <v>32</v>
      </c>
      <c r="H276" s="53" t="s">
        <v>142</v>
      </c>
      <c r="I276">
        <v>10</v>
      </c>
      <c r="J276">
        <v>0.3</v>
      </c>
      <c r="K276">
        <v>25</v>
      </c>
      <c r="L276">
        <v>8</v>
      </c>
      <c r="M276">
        <v>10</v>
      </c>
      <c r="N276">
        <v>7.5</v>
      </c>
    </row>
    <row r="277" spans="1:14" x14ac:dyDescent="0.25">
      <c r="A277" s="52">
        <v>43011</v>
      </c>
      <c r="B277" s="53" t="s">
        <v>157</v>
      </c>
      <c r="C277" s="53" t="s">
        <v>141</v>
      </c>
      <c r="D277">
        <v>59.2</v>
      </c>
      <c r="E277">
        <v>0.8</v>
      </c>
      <c r="F277" s="53" t="s">
        <v>142</v>
      </c>
      <c r="G277">
        <v>34</v>
      </c>
      <c r="H277" s="53" t="s">
        <v>142</v>
      </c>
      <c r="I277">
        <v>10</v>
      </c>
      <c r="J277">
        <v>0.3</v>
      </c>
      <c r="K277">
        <v>24</v>
      </c>
      <c r="L277">
        <v>8</v>
      </c>
      <c r="M277">
        <v>10</v>
      </c>
      <c r="N277">
        <v>7.2</v>
      </c>
    </row>
    <row r="278" spans="1:14" x14ac:dyDescent="0.25">
      <c r="A278" s="52">
        <v>43012</v>
      </c>
      <c r="B278" s="53" t="s">
        <v>157</v>
      </c>
      <c r="C278" s="53" t="s">
        <v>143</v>
      </c>
      <c r="D278">
        <v>61.2</v>
      </c>
      <c r="E278">
        <v>0.77</v>
      </c>
      <c r="F278" s="53" t="s">
        <v>142</v>
      </c>
      <c r="G278">
        <v>33</v>
      </c>
      <c r="H278" s="53" t="s">
        <v>142</v>
      </c>
      <c r="I278">
        <v>10</v>
      </c>
      <c r="J278">
        <v>0.3</v>
      </c>
      <c r="K278">
        <v>24</v>
      </c>
      <c r="L278">
        <v>8</v>
      </c>
      <c r="M278">
        <v>10</v>
      </c>
      <c r="N278">
        <v>7.2</v>
      </c>
    </row>
    <row r="279" spans="1:14" x14ac:dyDescent="0.25">
      <c r="A279" s="52">
        <v>43013</v>
      </c>
      <c r="B279" s="53" t="s">
        <v>157</v>
      </c>
      <c r="C279" s="53" t="s">
        <v>144</v>
      </c>
      <c r="D279">
        <v>60.5</v>
      </c>
      <c r="E279">
        <v>0.8</v>
      </c>
      <c r="F279" s="53" t="s">
        <v>142</v>
      </c>
      <c r="G279">
        <v>33</v>
      </c>
      <c r="H279" s="53" t="s">
        <v>142</v>
      </c>
      <c r="I279">
        <v>10</v>
      </c>
      <c r="J279">
        <v>0.3</v>
      </c>
      <c r="K279">
        <v>25</v>
      </c>
      <c r="L279">
        <v>8</v>
      </c>
      <c r="M279">
        <v>10</v>
      </c>
      <c r="N279">
        <v>7.5</v>
      </c>
    </row>
    <row r="280" spans="1:14" x14ac:dyDescent="0.25">
      <c r="A280" s="52">
        <v>43014</v>
      </c>
      <c r="B280" s="53" t="s">
        <v>157</v>
      </c>
      <c r="C280" s="53" t="s">
        <v>145</v>
      </c>
      <c r="D280">
        <v>62.5</v>
      </c>
      <c r="E280">
        <v>0.74</v>
      </c>
      <c r="F280" s="53" t="s">
        <v>142</v>
      </c>
      <c r="G280">
        <v>42</v>
      </c>
      <c r="H280" s="53" t="s">
        <v>149</v>
      </c>
      <c r="I280">
        <v>15</v>
      </c>
      <c r="J280">
        <v>0.3</v>
      </c>
      <c r="K280">
        <v>25</v>
      </c>
      <c r="L280">
        <v>8</v>
      </c>
      <c r="M280">
        <v>15</v>
      </c>
      <c r="N280">
        <v>7.5</v>
      </c>
    </row>
    <row r="281" spans="1:14" x14ac:dyDescent="0.25">
      <c r="A281" s="52">
        <v>43015</v>
      </c>
      <c r="B281" s="53" t="s">
        <v>157</v>
      </c>
      <c r="C281" s="53" t="s">
        <v>146</v>
      </c>
      <c r="D281">
        <v>63.5</v>
      </c>
      <c r="E281">
        <v>0.8</v>
      </c>
      <c r="F281" s="53" t="s">
        <v>142</v>
      </c>
      <c r="G281">
        <v>31</v>
      </c>
      <c r="H281" s="53" t="s">
        <v>142</v>
      </c>
      <c r="I281">
        <v>10</v>
      </c>
      <c r="J281">
        <v>0.3</v>
      </c>
      <c r="K281">
        <v>25</v>
      </c>
      <c r="L281">
        <v>8</v>
      </c>
      <c r="M281">
        <v>10</v>
      </c>
      <c r="N281">
        <v>7.5</v>
      </c>
    </row>
    <row r="282" spans="1:14" x14ac:dyDescent="0.25">
      <c r="A282" s="52">
        <v>43016</v>
      </c>
      <c r="B282" s="53" t="s">
        <v>157</v>
      </c>
      <c r="C282" s="53" t="s">
        <v>137</v>
      </c>
      <c r="D282">
        <v>60.2</v>
      </c>
      <c r="E282">
        <v>0.8</v>
      </c>
      <c r="F282" s="53" t="s">
        <v>142</v>
      </c>
      <c r="G282">
        <v>47</v>
      </c>
      <c r="H282" s="53" t="s">
        <v>149</v>
      </c>
      <c r="I282">
        <v>15</v>
      </c>
      <c r="J282">
        <v>0.3</v>
      </c>
      <c r="K282">
        <v>24</v>
      </c>
      <c r="L282">
        <v>8</v>
      </c>
      <c r="M282">
        <v>15</v>
      </c>
      <c r="N282">
        <v>7.2</v>
      </c>
    </row>
    <row r="283" spans="1:14" x14ac:dyDescent="0.25">
      <c r="A283" s="52">
        <v>43017</v>
      </c>
      <c r="B283" s="53" t="s">
        <v>157</v>
      </c>
      <c r="C283" s="53" t="s">
        <v>140</v>
      </c>
      <c r="D283">
        <v>63.5</v>
      </c>
      <c r="E283">
        <v>0.74</v>
      </c>
      <c r="F283" s="53" t="s">
        <v>142</v>
      </c>
      <c r="G283">
        <v>47</v>
      </c>
      <c r="H283" s="53" t="s">
        <v>149</v>
      </c>
      <c r="I283">
        <v>15</v>
      </c>
      <c r="J283">
        <v>0.3</v>
      </c>
      <c r="K283">
        <v>25</v>
      </c>
      <c r="L283">
        <v>8</v>
      </c>
      <c r="M283">
        <v>15</v>
      </c>
      <c r="N283">
        <v>7.5</v>
      </c>
    </row>
    <row r="284" spans="1:14" x14ac:dyDescent="0.25">
      <c r="A284" s="52">
        <v>43018</v>
      </c>
      <c r="B284" s="53" t="s">
        <v>157</v>
      </c>
      <c r="C284" s="53" t="s">
        <v>141</v>
      </c>
      <c r="D284">
        <v>58.5</v>
      </c>
      <c r="E284">
        <v>0.74</v>
      </c>
      <c r="F284" s="53" t="s">
        <v>142</v>
      </c>
      <c r="G284">
        <v>51</v>
      </c>
      <c r="H284" s="53" t="s">
        <v>149</v>
      </c>
      <c r="I284">
        <v>15</v>
      </c>
      <c r="J284">
        <v>0.3</v>
      </c>
      <c r="K284">
        <v>25</v>
      </c>
      <c r="L284">
        <v>8</v>
      </c>
      <c r="M284">
        <v>15</v>
      </c>
      <c r="N284">
        <v>7.5</v>
      </c>
    </row>
    <row r="285" spans="1:14" x14ac:dyDescent="0.25">
      <c r="A285" s="52">
        <v>43019</v>
      </c>
      <c r="B285" s="53" t="s">
        <v>157</v>
      </c>
      <c r="C285" s="53" t="s">
        <v>143</v>
      </c>
      <c r="D285">
        <v>61.5</v>
      </c>
      <c r="E285">
        <v>0.77</v>
      </c>
      <c r="F285" s="53" t="s">
        <v>142</v>
      </c>
      <c r="G285">
        <v>47</v>
      </c>
      <c r="H285" s="53" t="s">
        <v>149</v>
      </c>
      <c r="I285">
        <v>15</v>
      </c>
      <c r="J285">
        <v>0.3</v>
      </c>
      <c r="K285">
        <v>25</v>
      </c>
      <c r="L285">
        <v>8</v>
      </c>
      <c r="M285">
        <v>15</v>
      </c>
      <c r="N285">
        <v>7.5</v>
      </c>
    </row>
    <row r="286" spans="1:14" x14ac:dyDescent="0.25">
      <c r="A286" s="52">
        <v>43020</v>
      </c>
      <c r="B286" s="53" t="s">
        <v>157</v>
      </c>
      <c r="C286" s="53" t="s">
        <v>144</v>
      </c>
      <c r="D286">
        <v>58.2</v>
      </c>
      <c r="E286">
        <v>0.77</v>
      </c>
      <c r="F286" s="53" t="s">
        <v>142</v>
      </c>
      <c r="G286">
        <v>39</v>
      </c>
      <c r="H286" s="53" t="s">
        <v>142</v>
      </c>
      <c r="I286">
        <v>10</v>
      </c>
      <c r="J286">
        <v>0.3</v>
      </c>
      <c r="K286">
        <v>24</v>
      </c>
      <c r="L286">
        <v>8</v>
      </c>
      <c r="M286">
        <v>10</v>
      </c>
      <c r="N286">
        <v>7.2</v>
      </c>
    </row>
    <row r="287" spans="1:14" x14ac:dyDescent="0.25">
      <c r="A287" s="52">
        <v>43021</v>
      </c>
      <c r="B287" s="53" t="s">
        <v>157</v>
      </c>
      <c r="C287" s="53" t="s">
        <v>145</v>
      </c>
      <c r="D287">
        <v>61.5</v>
      </c>
      <c r="E287">
        <v>0.8</v>
      </c>
      <c r="F287" s="53" t="s">
        <v>142</v>
      </c>
      <c r="G287">
        <v>28</v>
      </c>
      <c r="H287" s="53" t="s">
        <v>142</v>
      </c>
      <c r="I287">
        <v>10</v>
      </c>
      <c r="J287">
        <v>0.3</v>
      </c>
      <c r="K287">
        <v>25</v>
      </c>
      <c r="L287">
        <v>8</v>
      </c>
      <c r="M287">
        <v>10</v>
      </c>
      <c r="N287">
        <v>7.5</v>
      </c>
    </row>
    <row r="288" spans="1:14" x14ac:dyDescent="0.25">
      <c r="A288" s="52">
        <v>43022</v>
      </c>
      <c r="B288" s="53" t="s">
        <v>157</v>
      </c>
      <c r="C288" s="53" t="s">
        <v>146</v>
      </c>
      <c r="D288">
        <v>59.5</v>
      </c>
      <c r="E288">
        <v>0.74</v>
      </c>
      <c r="F288" s="53" t="s">
        <v>142</v>
      </c>
      <c r="G288">
        <v>28</v>
      </c>
      <c r="H288" s="53" t="s">
        <v>142</v>
      </c>
      <c r="I288">
        <v>10</v>
      </c>
      <c r="J288">
        <v>0.3</v>
      </c>
      <c r="K288">
        <v>25</v>
      </c>
      <c r="L288">
        <v>8</v>
      </c>
      <c r="M288">
        <v>10</v>
      </c>
      <c r="N288">
        <v>7.5</v>
      </c>
    </row>
    <row r="289" spans="1:14" x14ac:dyDescent="0.25">
      <c r="A289" s="52">
        <v>43023</v>
      </c>
      <c r="B289" s="53" t="s">
        <v>157</v>
      </c>
      <c r="C289" s="53" t="s">
        <v>137</v>
      </c>
      <c r="D289">
        <v>61.5</v>
      </c>
      <c r="E289">
        <v>0.74</v>
      </c>
      <c r="F289" s="53" t="s">
        <v>142</v>
      </c>
      <c r="G289">
        <v>36</v>
      </c>
      <c r="H289" s="53" t="s">
        <v>142</v>
      </c>
      <c r="I289">
        <v>10</v>
      </c>
      <c r="J289">
        <v>0.3</v>
      </c>
      <c r="K289">
        <v>25</v>
      </c>
      <c r="L289">
        <v>8</v>
      </c>
      <c r="M289">
        <v>10</v>
      </c>
      <c r="N289">
        <v>7.5</v>
      </c>
    </row>
    <row r="290" spans="1:14" x14ac:dyDescent="0.25">
      <c r="A290" s="52">
        <v>43024</v>
      </c>
      <c r="B290" s="53" t="s">
        <v>157</v>
      </c>
      <c r="C290" s="53" t="s">
        <v>140</v>
      </c>
      <c r="D290">
        <v>58.2</v>
      </c>
      <c r="E290">
        <v>0.8</v>
      </c>
      <c r="F290" s="53" t="s">
        <v>142</v>
      </c>
      <c r="G290">
        <v>28</v>
      </c>
      <c r="H290" s="53" t="s">
        <v>142</v>
      </c>
      <c r="I290">
        <v>10</v>
      </c>
      <c r="J290">
        <v>0.3</v>
      </c>
      <c r="K290">
        <v>24</v>
      </c>
      <c r="L290">
        <v>8</v>
      </c>
      <c r="M290">
        <v>10</v>
      </c>
      <c r="N290">
        <v>7.2</v>
      </c>
    </row>
    <row r="291" spans="1:14" x14ac:dyDescent="0.25">
      <c r="A291" s="52">
        <v>43025</v>
      </c>
      <c r="B291" s="53" t="s">
        <v>157</v>
      </c>
      <c r="C291" s="53" t="s">
        <v>141</v>
      </c>
      <c r="D291">
        <v>58.5</v>
      </c>
      <c r="E291">
        <v>0.77</v>
      </c>
      <c r="F291" s="53" t="s">
        <v>142</v>
      </c>
      <c r="G291">
        <v>46</v>
      </c>
      <c r="H291" s="53" t="s">
        <v>149</v>
      </c>
      <c r="I291">
        <v>15</v>
      </c>
      <c r="J291">
        <v>0.3</v>
      </c>
      <c r="K291">
        <v>25</v>
      </c>
      <c r="L291">
        <v>8</v>
      </c>
      <c r="M291">
        <v>15</v>
      </c>
      <c r="N291">
        <v>7.5</v>
      </c>
    </row>
    <row r="292" spans="1:14" x14ac:dyDescent="0.25">
      <c r="A292" s="52">
        <v>43026</v>
      </c>
      <c r="B292" s="53" t="s">
        <v>157</v>
      </c>
      <c r="C292" s="53" t="s">
        <v>143</v>
      </c>
      <c r="D292">
        <v>62.5</v>
      </c>
      <c r="E292">
        <v>0</v>
      </c>
      <c r="F292" s="53" t="s">
        <v>147</v>
      </c>
      <c r="G292">
        <v>33</v>
      </c>
      <c r="H292" s="53" t="s">
        <v>142</v>
      </c>
      <c r="I292">
        <v>10</v>
      </c>
      <c r="J292">
        <v>0.3</v>
      </c>
      <c r="K292">
        <v>25</v>
      </c>
      <c r="L292">
        <v>8</v>
      </c>
      <c r="M292">
        <v>10</v>
      </c>
      <c r="N292">
        <v>7.5</v>
      </c>
    </row>
    <row r="293" spans="1:14" x14ac:dyDescent="0.25">
      <c r="A293" s="52">
        <v>43027</v>
      </c>
      <c r="B293" s="53" t="s">
        <v>157</v>
      </c>
      <c r="C293" s="53" t="s">
        <v>144</v>
      </c>
      <c r="D293">
        <v>60.5</v>
      </c>
      <c r="E293">
        <v>0</v>
      </c>
      <c r="F293" s="53" t="s">
        <v>147</v>
      </c>
      <c r="G293">
        <v>41</v>
      </c>
      <c r="H293" s="53" t="s">
        <v>149</v>
      </c>
      <c r="I293">
        <v>15</v>
      </c>
      <c r="J293">
        <v>0.3</v>
      </c>
      <c r="K293">
        <v>25</v>
      </c>
      <c r="L293">
        <v>8</v>
      </c>
      <c r="M293">
        <v>15</v>
      </c>
      <c r="N293">
        <v>7.5</v>
      </c>
    </row>
    <row r="294" spans="1:14" x14ac:dyDescent="0.25">
      <c r="A294" s="52">
        <v>43028</v>
      </c>
      <c r="B294" s="53" t="s">
        <v>157</v>
      </c>
      <c r="C294" s="53" t="s">
        <v>145</v>
      </c>
      <c r="D294">
        <v>60.2</v>
      </c>
      <c r="E294">
        <v>0.8</v>
      </c>
      <c r="F294" s="53" t="s">
        <v>142</v>
      </c>
      <c r="G294">
        <v>50</v>
      </c>
      <c r="H294" s="53" t="s">
        <v>149</v>
      </c>
      <c r="I294">
        <v>15</v>
      </c>
      <c r="J294">
        <v>0.3</v>
      </c>
      <c r="K294">
        <v>24</v>
      </c>
      <c r="L294">
        <v>8</v>
      </c>
      <c r="M294">
        <v>15</v>
      </c>
      <c r="N294">
        <v>7.2</v>
      </c>
    </row>
    <row r="295" spans="1:14" x14ac:dyDescent="0.25">
      <c r="A295" s="52">
        <v>43029</v>
      </c>
      <c r="B295" s="53" t="s">
        <v>157</v>
      </c>
      <c r="C295" s="53" t="s">
        <v>146</v>
      </c>
      <c r="D295">
        <v>56.2</v>
      </c>
      <c r="E295">
        <v>0.83</v>
      </c>
      <c r="F295" s="53" t="s">
        <v>142</v>
      </c>
      <c r="G295">
        <v>28</v>
      </c>
      <c r="H295" s="53" t="s">
        <v>142</v>
      </c>
      <c r="I295">
        <v>10</v>
      </c>
      <c r="J295">
        <v>0.3</v>
      </c>
      <c r="K295">
        <v>24</v>
      </c>
      <c r="L295">
        <v>8</v>
      </c>
      <c r="M295">
        <v>10</v>
      </c>
      <c r="N295">
        <v>7.2</v>
      </c>
    </row>
    <row r="296" spans="1:14" x14ac:dyDescent="0.25">
      <c r="A296" s="52">
        <v>43030</v>
      </c>
      <c r="B296" s="53" t="s">
        <v>157</v>
      </c>
      <c r="C296" s="53" t="s">
        <v>137</v>
      </c>
      <c r="D296">
        <v>57.5</v>
      </c>
      <c r="E296">
        <v>0.77</v>
      </c>
      <c r="F296" s="53" t="s">
        <v>142</v>
      </c>
      <c r="G296">
        <v>35</v>
      </c>
      <c r="H296" s="53" t="s">
        <v>142</v>
      </c>
      <c r="I296">
        <v>10</v>
      </c>
      <c r="J296">
        <v>0.3</v>
      </c>
      <c r="K296">
        <v>25</v>
      </c>
      <c r="L296">
        <v>8</v>
      </c>
      <c r="M296">
        <v>10</v>
      </c>
      <c r="N296">
        <v>7.5</v>
      </c>
    </row>
    <row r="297" spans="1:14" x14ac:dyDescent="0.25">
      <c r="A297" s="52">
        <v>43031</v>
      </c>
      <c r="B297" s="53" t="s">
        <v>157</v>
      </c>
      <c r="C297" s="53" t="s">
        <v>140</v>
      </c>
      <c r="D297">
        <v>58.5</v>
      </c>
      <c r="E297">
        <v>0.8</v>
      </c>
      <c r="F297" s="53" t="s">
        <v>142</v>
      </c>
      <c r="G297">
        <v>50</v>
      </c>
      <c r="H297" s="53" t="s">
        <v>149</v>
      </c>
      <c r="I297">
        <v>15</v>
      </c>
      <c r="J297">
        <v>0.3</v>
      </c>
      <c r="K297">
        <v>25</v>
      </c>
      <c r="L297">
        <v>8</v>
      </c>
      <c r="M297">
        <v>15</v>
      </c>
      <c r="N297">
        <v>7.5</v>
      </c>
    </row>
    <row r="298" spans="1:14" x14ac:dyDescent="0.25">
      <c r="A298" s="52">
        <v>43032</v>
      </c>
      <c r="B298" s="53" t="s">
        <v>157</v>
      </c>
      <c r="C298" s="53" t="s">
        <v>141</v>
      </c>
      <c r="D298">
        <v>61.5</v>
      </c>
      <c r="E298">
        <v>0.74</v>
      </c>
      <c r="F298" s="53" t="s">
        <v>142</v>
      </c>
      <c r="G298">
        <v>48</v>
      </c>
      <c r="H298" s="53" t="s">
        <v>149</v>
      </c>
      <c r="I298">
        <v>15</v>
      </c>
      <c r="J298">
        <v>0.3</v>
      </c>
      <c r="K298">
        <v>25</v>
      </c>
      <c r="L298">
        <v>8</v>
      </c>
      <c r="M298">
        <v>15</v>
      </c>
      <c r="N298">
        <v>7.5</v>
      </c>
    </row>
    <row r="299" spans="1:14" x14ac:dyDescent="0.25">
      <c r="A299" s="52">
        <v>43033</v>
      </c>
      <c r="B299" s="53" t="s">
        <v>157</v>
      </c>
      <c r="C299" s="53" t="s">
        <v>143</v>
      </c>
      <c r="D299">
        <v>61.2</v>
      </c>
      <c r="E299">
        <v>0</v>
      </c>
      <c r="F299" s="53" t="s">
        <v>147</v>
      </c>
      <c r="G299">
        <v>44</v>
      </c>
      <c r="H299" s="53" t="s">
        <v>149</v>
      </c>
      <c r="I299">
        <v>15</v>
      </c>
      <c r="J299">
        <v>0.3</v>
      </c>
      <c r="K299">
        <v>24</v>
      </c>
      <c r="L299">
        <v>8</v>
      </c>
      <c r="M299">
        <v>15</v>
      </c>
      <c r="N299">
        <v>7.2</v>
      </c>
    </row>
    <row r="300" spans="1:14" x14ac:dyDescent="0.25">
      <c r="A300" s="52">
        <v>43034</v>
      </c>
      <c r="B300" s="53" t="s">
        <v>157</v>
      </c>
      <c r="C300" s="53" t="s">
        <v>144</v>
      </c>
      <c r="D300">
        <v>54.2</v>
      </c>
      <c r="E300">
        <v>0.77</v>
      </c>
      <c r="F300" s="53" t="s">
        <v>142</v>
      </c>
      <c r="G300">
        <v>47</v>
      </c>
      <c r="H300" s="53" t="s">
        <v>149</v>
      </c>
      <c r="I300">
        <v>15</v>
      </c>
      <c r="J300">
        <v>0.3</v>
      </c>
      <c r="K300">
        <v>24</v>
      </c>
      <c r="L300">
        <v>8</v>
      </c>
      <c r="M300">
        <v>15</v>
      </c>
      <c r="N300">
        <v>7.2</v>
      </c>
    </row>
    <row r="301" spans="1:14" x14ac:dyDescent="0.25">
      <c r="A301" s="52">
        <v>43035</v>
      </c>
      <c r="B301" s="53" t="s">
        <v>157</v>
      </c>
      <c r="C301" s="53" t="s">
        <v>145</v>
      </c>
      <c r="D301">
        <v>62.8</v>
      </c>
      <c r="E301">
        <v>0.71</v>
      </c>
      <c r="F301" s="53" t="s">
        <v>142</v>
      </c>
      <c r="G301">
        <v>52</v>
      </c>
      <c r="H301" s="53" t="s">
        <v>149</v>
      </c>
      <c r="I301">
        <v>15</v>
      </c>
      <c r="J301">
        <v>0.3</v>
      </c>
      <c r="K301">
        <v>26</v>
      </c>
      <c r="L301">
        <v>8</v>
      </c>
      <c r="M301">
        <v>15</v>
      </c>
      <c r="N301">
        <v>7.8</v>
      </c>
    </row>
    <row r="302" spans="1:14" x14ac:dyDescent="0.25">
      <c r="A302" s="52">
        <v>43036</v>
      </c>
      <c r="B302" s="53" t="s">
        <v>157</v>
      </c>
      <c r="C302" s="53" t="s">
        <v>146</v>
      </c>
      <c r="D302">
        <v>57.5</v>
      </c>
      <c r="E302">
        <v>0.77</v>
      </c>
      <c r="F302" s="53" t="s">
        <v>142</v>
      </c>
      <c r="G302">
        <v>28</v>
      </c>
      <c r="H302" s="53" t="s">
        <v>142</v>
      </c>
      <c r="I302">
        <v>10</v>
      </c>
      <c r="J302">
        <v>0.3</v>
      </c>
      <c r="K302">
        <v>25</v>
      </c>
      <c r="L302">
        <v>8</v>
      </c>
      <c r="M302">
        <v>10</v>
      </c>
      <c r="N302">
        <v>7.5</v>
      </c>
    </row>
    <row r="303" spans="1:14" x14ac:dyDescent="0.25">
      <c r="A303" s="52">
        <v>43037</v>
      </c>
      <c r="B303" s="53" t="s">
        <v>157</v>
      </c>
      <c r="C303" s="53" t="s">
        <v>137</v>
      </c>
      <c r="D303">
        <v>61.5</v>
      </c>
      <c r="E303">
        <v>0</v>
      </c>
      <c r="F303" s="53" t="s">
        <v>147</v>
      </c>
      <c r="G303">
        <v>34</v>
      </c>
      <c r="H303" s="53" t="s">
        <v>142</v>
      </c>
      <c r="I303">
        <v>10</v>
      </c>
      <c r="J303">
        <v>0.3</v>
      </c>
      <c r="K303">
        <v>25</v>
      </c>
      <c r="L303">
        <v>8</v>
      </c>
      <c r="M303">
        <v>10</v>
      </c>
      <c r="N303">
        <v>7.5</v>
      </c>
    </row>
    <row r="304" spans="1:14" x14ac:dyDescent="0.25">
      <c r="A304" s="52">
        <v>43038</v>
      </c>
      <c r="B304" s="53" t="s">
        <v>157</v>
      </c>
      <c r="C304" s="53" t="s">
        <v>140</v>
      </c>
      <c r="D304">
        <v>58.2</v>
      </c>
      <c r="E304">
        <v>0</v>
      </c>
      <c r="F304" s="53" t="s">
        <v>147</v>
      </c>
      <c r="G304">
        <v>35</v>
      </c>
      <c r="H304" s="53" t="s">
        <v>142</v>
      </c>
      <c r="I304">
        <v>10</v>
      </c>
      <c r="J304">
        <v>0.3</v>
      </c>
      <c r="K304">
        <v>24</v>
      </c>
      <c r="L304">
        <v>8</v>
      </c>
      <c r="M304">
        <v>10</v>
      </c>
      <c r="N304">
        <v>7.2</v>
      </c>
    </row>
    <row r="305" spans="1:14" x14ac:dyDescent="0.25">
      <c r="A305" s="52">
        <v>43039</v>
      </c>
      <c r="B305" s="53" t="s">
        <v>157</v>
      </c>
      <c r="C305" s="53" t="s">
        <v>141</v>
      </c>
      <c r="D305">
        <v>54.2</v>
      </c>
      <c r="E305">
        <v>0</v>
      </c>
      <c r="F305" s="53" t="s">
        <v>147</v>
      </c>
      <c r="G305">
        <v>38</v>
      </c>
      <c r="H305" s="53" t="s">
        <v>142</v>
      </c>
      <c r="I305">
        <v>10</v>
      </c>
      <c r="J305">
        <v>0.3</v>
      </c>
      <c r="K305">
        <v>24</v>
      </c>
      <c r="L305">
        <v>8</v>
      </c>
      <c r="M305">
        <v>10</v>
      </c>
      <c r="N305">
        <v>7.2</v>
      </c>
    </row>
    <row r="306" spans="1:14" x14ac:dyDescent="0.25">
      <c r="A306" s="52">
        <v>43040</v>
      </c>
      <c r="B306" s="53" t="s">
        <v>158</v>
      </c>
      <c r="C306" s="53" t="s">
        <v>143</v>
      </c>
      <c r="D306">
        <v>51.9</v>
      </c>
      <c r="E306">
        <v>0</v>
      </c>
      <c r="F306" s="53" t="s">
        <v>147</v>
      </c>
      <c r="G306">
        <v>43</v>
      </c>
      <c r="H306" s="53" t="s">
        <v>149</v>
      </c>
      <c r="I306">
        <v>15</v>
      </c>
      <c r="J306">
        <v>0.3</v>
      </c>
      <c r="K306">
        <v>23</v>
      </c>
      <c r="L306">
        <v>8</v>
      </c>
      <c r="M306">
        <v>15</v>
      </c>
      <c r="N306">
        <v>6.9</v>
      </c>
    </row>
    <row r="307" spans="1:14" x14ac:dyDescent="0.25">
      <c r="A307" s="52">
        <v>43041</v>
      </c>
      <c r="B307" s="53" t="s">
        <v>158</v>
      </c>
      <c r="C307" s="53" t="s">
        <v>144</v>
      </c>
      <c r="D307">
        <v>53.6</v>
      </c>
      <c r="E307">
        <v>0.91</v>
      </c>
      <c r="F307" s="53" t="s">
        <v>142</v>
      </c>
      <c r="G307">
        <v>46</v>
      </c>
      <c r="H307" s="53" t="s">
        <v>149</v>
      </c>
      <c r="I307">
        <v>15</v>
      </c>
      <c r="J307">
        <v>0.3</v>
      </c>
      <c r="K307">
        <v>22</v>
      </c>
      <c r="L307">
        <v>8</v>
      </c>
      <c r="M307">
        <v>15</v>
      </c>
      <c r="N307">
        <v>6.6</v>
      </c>
    </row>
    <row r="308" spans="1:14" x14ac:dyDescent="0.25">
      <c r="A308" s="52">
        <v>43042</v>
      </c>
      <c r="B308" s="53" t="s">
        <v>158</v>
      </c>
      <c r="C308" s="53" t="s">
        <v>145</v>
      </c>
      <c r="D308">
        <v>51.3</v>
      </c>
      <c r="E308">
        <v>0.87</v>
      </c>
      <c r="F308" s="53" t="s">
        <v>142</v>
      </c>
      <c r="G308">
        <v>38</v>
      </c>
      <c r="H308" s="53" t="s">
        <v>142</v>
      </c>
      <c r="I308">
        <v>10</v>
      </c>
      <c r="J308">
        <v>0.3</v>
      </c>
      <c r="K308">
        <v>21</v>
      </c>
      <c r="L308">
        <v>8</v>
      </c>
      <c r="M308">
        <v>10</v>
      </c>
      <c r="N308">
        <v>6.3</v>
      </c>
    </row>
    <row r="309" spans="1:14" x14ac:dyDescent="0.25">
      <c r="A309" s="52">
        <v>43043</v>
      </c>
      <c r="B309" s="53" t="s">
        <v>158</v>
      </c>
      <c r="C309" s="53" t="s">
        <v>146</v>
      </c>
      <c r="D309">
        <v>48.7</v>
      </c>
      <c r="E309">
        <v>0.95</v>
      </c>
      <c r="F309" s="53" t="s">
        <v>142</v>
      </c>
      <c r="G309">
        <v>39</v>
      </c>
      <c r="H309" s="53" t="s">
        <v>142</v>
      </c>
      <c r="I309">
        <v>10</v>
      </c>
      <c r="J309">
        <v>0.3</v>
      </c>
      <c r="K309">
        <v>19</v>
      </c>
      <c r="L309">
        <v>8</v>
      </c>
      <c r="M309">
        <v>10</v>
      </c>
      <c r="N309">
        <v>5.7</v>
      </c>
    </row>
    <row r="310" spans="1:14" x14ac:dyDescent="0.25">
      <c r="A310" s="52">
        <v>43044</v>
      </c>
      <c r="B310" s="53" t="s">
        <v>158</v>
      </c>
      <c r="C310" s="53" t="s">
        <v>137</v>
      </c>
      <c r="D310">
        <v>55.9</v>
      </c>
      <c r="E310">
        <v>0.87</v>
      </c>
      <c r="F310" s="53" t="s">
        <v>142</v>
      </c>
      <c r="G310">
        <v>45</v>
      </c>
      <c r="H310" s="53" t="s">
        <v>149</v>
      </c>
      <c r="I310">
        <v>15</v>
      </c>
      <c r="J310">
        <v>0.3</v>
      </c>
      <c r="K310">
        <v>23</v>
      </c>
      <c r="L310">
        <v>8</v>
      </c>
      <c r="M310">
        <v>15</v>
      </c>
      <c r="N310">
        <v>6.9</v>
      </c>
    </row>
    <row r="311" spans="1:14" x14ac:dyDescent="0.25">
      <c r="A311" s="52">
        <v>43045</v>
      </c>
      <c r="B311" s="53" t="s">
        <v>158</v>
      </c>
      <c r="C311" s="53" t="s">
        <v>140</v>
      </c>
      <c r="D311">
        <v>51.6</v>
      </c>
      <c r="E311">
        <v>0.91</v>
      </c>
      <c r="F311" s="53" t="s">
        <v>142</v>
      </c>
      <c r="G311">
        <v>28</v>
      </c>
      <c r="H311" s="53" t="s">
        <v>142</v>
      </c>
      <c r="I311">
        <v>10</v>
      </c>
      <c r="J311">
        <v>0.3</v>
      </c>
      <c r="K311">
        <v>22</v>
      </c>
      <c r="L311">
        <v>8</v>
      </c>
      <c r="M311">
        <v>10</v>
      </c>
      <c r="N311">
        <v>6.6</v>
      </c>
    </row>
    <row r="312" spans="1:14" x14ac:dyDescent="0.25">
      <c r="A312" s="52">
        <v>43046</v>
      </c>
      <c r="B312" s="53" t="s">
        <v>158</v>
      </c>
      <c r="C312" s="53" t="s">
        <v>141</v>
      </c>
      <c r="D312">
        <v>52.3</v>
      </c>
      <c r="E312">
        <v>0.91</v>
      </c>
      <c r="F312" s="53" t="s">
        <v>142</v>
      </c>
      <c r="G312">
        <v>34</v>
      </c>
      <c r="H312" s="53" t="s">
        <v>142</v>
      </c>
      <c r="I312">
        <v>10</v>
      </c>
      <c r="J312">
        <v>0.3</v>
      </c>
      <c r="K312">
        <v>21</v>
      </c>
      <c r="L312">
        <v>8</v>
      </c>
      <c r="M312">
        <v>10</v>
      </c>
      <c r="N312">
        <v>6.3</v>
      </c>
    </row>
    <row r="313" spans="1:14" x14ac:dyDescent="0.25">
      <c r="A313" s="52">
        <v>43047</v>
      </c>
      <c r="B313" s="53" t="s">
        <v>158</v>
      </c>
      <c r="C313" s="53" t="s">
        <v>143</v>
      </c>
      <c r="D313">
        <v>44.7</v>
      </c>
      <c r="E313">
        <v>0.95</v>
      </c>
      <c r="F313" s="53" t="s">
        <v>142</v>
      </c>
      <c r="G313">
        <v>37</v>
      </c>
      <c r="H313" s="53" t="s">
        <v>142</v>
      </c>
      <c r="I313">
        <v>10</v>
      </c>
      <c r="J313">
        <v>0.3</v>
      </c>
      <c r="K313">
        <v>19</v>
      </c>
      <c r="L313">
        <v>8</v>
      </c>
      <c r="M313">
        <v>10</v>
      </c>
      <c r="N313">
        <v>5.7</v>
      </c>
    </row>
    <row r="314" spans="1:14" x14ac:dyDescent="0.25">
      <c r="A314" s="52">
        <v>43048</v>
      </c>
      <c r="B314" s="53" t="s">
        <v>158</v>
      </c>
      <c r="C314" s="53" t="s">
        <v>144</v>
      </c>
      <c r="D314">
        <v>53.9</v>
      </c>
      <c r="E314">
        <v>0.83</v>
      </c>
      <c r="F314" s="53" t="s">
        <v>142</v>
      </c>
      <c r="G314">
        <v>33</v>
      </c>
      <c r="H314" s="53" t="s">
        <v>142</v>
      </c>
      <c r="I314">
        <v>10</v>
      </c>
      <c r="J314">
        <v>0.3</v>
      </c>
      <c r="K314">
        <v>23</v>
      </c>
      <c r="L314">
        <v>8</v>
      </c>
      <c r="M314">
        <v>10</v>
      </c>
      <c r="N314">
        <v>6.9</v>
      </c>
    </row>
    <row r="315" spans="1:14" x14ac:dyDescent="0.25">
      <c r="A315" s="52">
        <v>43049</v>
      </c>
      <c r="B315" s="53" t="s">
        <v>158</v>
      </c>
      <c r="C315" s="53" t="s">
        <v>145</v>
      </c>
      <c r="D315">
        <v>54.6</v>
      </c>
      <c r="E315">
        <v>0.87</v>
      </c>
      <c r="F315" s="53" t="s">
        <v>142</v>
      </c>
      <c r="G315">
        <v>28</v>
      </c>
      <c r="H315" s="53" t="s">
        <v>142</v>
      </c>
      <c r="I315">
        <v>10</v>
      </c>
      <c r="J315">
        <v>0.3</v>
      </c>
      <c r="K315">
        <v>22</v>
      </c>
      <c r="L315">
        <v>8</v>
      </c>
      <c r="M315">
        <v>10</v>
      </c>
      <c r="N315">
        <v>6.6</v>
      </c>
    </row>
    <row r="316" spans="1:14" x14ac:dyDescent="0.25">
      <c r="A316" s="52">
        <v>43050</v>
      </c>
      <c r="B316" s="53" t="s">
        <v>158</v>
      </c>
      <c r="C316" s="53" t="s">
        <v>146</v>
      </c>
      <c r="D316">
        <v>47.3</v>
      </c>
      <c r="E316">
        <v>0.91</v>
      </c>
      <c r="F316" s="53" t="s">
        <v>142</v>
      </c>
      <c r="G316">
        <v>33</v>
      </c>
      <c r="H316" s="53" t="s">
        <v>142</v>
      </c>
      <c r="I316">
        <v>10</v>
      </c>
      <c r="J316">
        <v>0.3</v>
      </c>
      <c r="K316">
        <v>21</v>
      </c>
      <c r="L316">
        <v>8</v>
      </c>
      <c r="M316">
        <v>10</v>
      </c>
      <c r="N316">
        <v>6.3</v>
      </c>
    </row>
    <row r="317" spans="1:14" x14ac:dyDescent="0.25">
      <c r="A317" s="52">
        <v>43051</v>
      </c>
      <c r="B317" s="53" t="s">
        <v>158</v>
      </c>
      <c r="C317" s="53" t="s">
        <v>137</v>
      </c>
      <c r="D317">
        <v>49.7</v>
      </c>
      <c r="E317">
        <v>0</v>
      </c>
      <c r="F317" s="53" t="s">
        <v>147</v>
      </c>
      <c r="G317">
        <v>38</v>
      </c>
      <c r="H317" s="53" t="s">
        <v>142</v>
      </c>
      <c r="I317">
        <v>10</v>
      </c>
      <c r="J317">
        <v>0.3</v>
      </c>
      <c r="K317">
        <v>19</v>
      </c>
      <c r="L317">
        <v>8</v>
      </c>
      <c r="M317">
        <v>10</v>
      </c>
      <c r="N317">
        <v>5.7</v>
      </c>
    </row>
    <row r="318" spans="1:14" x14ac:dyDescent="0.25">
      <c r="A318" s="52">
        <v>43052</v>
      </c>
      <c r="B318" s="53" t="s">
        <v>158</v>
      </c>
      <c r="C318" s="53" t="s">
        <v>140</v>
      </c>
      <c r="D318">
        <v>44.7</v>
      </c>
      <c r="E318">
        <v>1.05</v>
      </c>
      <c r="F318" s="53" t="s">
        <v>138</v>
      </c>
      <c r="G318">
        <v>26</v>
      </c>
      <c r="H318" s="53" t="s">
        <v>142</v>
      </c>
      <c r="I318">
        <v>10</v>
      </c>
      <c r="J318">
        <v>0.3</v>
      </c>
      <c r="K318">
        <v>19</v>
      </c>
      <c r="L318">
        <v>8</v>
      </c>
      <c r="M318">
        <v>10</v>
      </c>
      <c r="N318">
        <v>5.7</v>
      </c>
    </row>
    <row r="319" spans="1:14" x14ac:dyDescent="0.25">
      <c r="A319" s="52">
        <v>43053</v>
      </c>
      <c r="B319" s="53" t="s">
        <v>158</v>
      </c>
      <c r="C319" s="53" t="s">
        <v>141</v>
      </c>
      <c r="D319">
        <v>55.9</v>
      </c>
      <c r="E319">
        <v>0.8</v>
      </c>
      <c r="F319" s="53" t="s">
        <v>142</v>
      </c>
      <c r="G319">
        <v>28</v>
      </c>
      <c r="H319" s="53" t="s">
        <v>142</v>
      </c>
      <c r="I319">
        <v>10</v>
      </c>
      <c r="J319">
        <v>0.3</v>
      </c>
      <c r="K319">
        <v>23</v>
      </c>
      <c r="L319">
        <v>8</v>
      </c>
      <c r="M319">
        <v>10</v>
      </c>
      <c r="N319">
        <v>6.9</v>
      </c>
    </row>
    <row r="320" spans="1:14" x14ac:dyDescent="0.25">
      <c r="A320" s="52">
        <v>43054</v>
      </c>
      <c r="B320" s="53" t="s">
        <v>158</v>
      </c>
      <c r="C320" s="53" t="s">
        <v>143</v>
      </c>
      <c r="D320">
        <v>55.9</v>
      </c>
      <c r="E320">
        <v>0</v>
      </c>
      <c r="F320" s="53" t="s">
        <v>147</v>
      </c>
      <c r="G320">
        <v>47</v>
      </c>
      <c r="H320" s="53" t="s">
        <v>149</v>
      </c>
      <c r="I320">
        <v>15</v>
      </c>
      <c r="J320">
        <v>0.3</v>
      </c>
      <c r="K320">
        <v>23</v>
      </c>
      <c r="L320">
        <v>8</v>
      </c>
      <c r="M320">
        <v>15</v>
      </c>
      <c r="N320">
        <v>6.9</v>
      </c>
    </row>
    <row r="321" spans="1:14" x14ac:dyDescent="0.25">
      <c r="A321" s="52">
        <v>43055</v>
      </c>
      <c r="B321" s="53" t="s">
        <v>158</v>
      </c>
      <c r="C321" s="53" t="s">
        <v>144</v>
      </c>
      <c r="D321">
        <v>47.3</v>
      </c>
      <c r="E321">
        <v>0.87</v>
      </c>
      <c r="F321" s="53" t="s">
        <v>142</v>
      </c>
      <c r="G321">
        <v>28</v>
      </c>
      <c r="H321" s="53" t="s">
        <v>142</v>
      </c>
      <c r="I321">
        <v>10</v>
      </c>
      <c r="J321">
        <v>0.3</v>
      </c>
      <c r="K321">
        <v>21</v>
      </c>
      <c r="L321">
        <v>8</v>
      </c>
      <c r="M321">
        <v>10</v>
      </c>
      <c r="N321">
        <v>6.3</v>
      </c>
    </row>
    <row r="322" spans="1:14" x14ac:dyDescent="0.25">
      <c r="A322" s="52">
        <v>43056</v>
      </c>
      <c r="B322" s="53" t="s">
        <v>158</v>
      </c>
      <c r="C322" s="53" t="s">
        <v>145</v>
      </c>
      <c r="D322">
        <v>46</v>
      </c>
      <c r="E322">
        <v>1</v>
      </c>
      <c r="F322" s="53" t="s">
        <v>142</v>
      </c>
      <c r="G322">
        <v>31</v>
      </c>
      <c r="H322" s="53" t="s">
        <v>142</v>
      </c>
      <c r="I322">
        <v>10</v>
      </c>
      <c r="J322">
        <v>0.3</v>
      </c>
      <c r="K322">
        <v>20</v>
      </c>
      <c r="L322">
        <v>8</v>
      </c>
      <c r="M322">
        <v>10</v>
      </c>
      <c r="N322">
        <v>6</v>
      </c>
    </row>
    <row r="323" spans="1:14" x14ac:dyDescent="0.25">
      <c r="A323" s="52">
        <v>43057</v>
      </c>
      <c r="B323" s="53" t="s">
        <v>158</v>
      </c>
      <c r="C323" s="53" t="s">
        <v>146</v>
      </c>
      <c r="D323">
        <v>48.7</v>
      </c>
      <c r="E323">
        <v>1.05</v>
      </c>
      <c r="F323" s="53" t="s">
        <v>138</v>
      </c>
      <c r="G323">
        <v>37</v>
      </c>
      <c r="H323" s="53" t="s">
        <v>142</v>
      </c>
      <c r="I323">
        <v>10</v>
      </c>
      <c r="J323">
        <v>0.3</v>
      </c>
      <c r="K323">
        <v>19</v>
      </c>
      <c r="L323">
        <v>8</v>
      </c>
      <c r="M323">
        <v>10</v>
      </c>
      <c r="N323">
        <v>5.7</v>
      </c>
    </row>
    <row r="324" spans="1:14" x14ac:dyDescent="0.25">
      <c r="A324" s="52">
        <v>43058</v>
      </c>
      <c r="B324" s="53" t="s">
        <v>158</v>
      </c>
      <c r="C324" s="53" t="s">
        <v>137</v>
      </c>
      <c r="D324">
        <v>55.9</v>
      </c>
      <c r="E324">
        <v>0</v>
      </c>
      <c r="F324" s="53" t="s">
        <v>147</v>
      </c>
      <c r="G324">
        <v>34</v>
      </c>
      <c r="H324" s="53" t="s">
        <v>142</v>
      </c>
      <c r="I324">
        <v>10</v>
      </c>
      <c r="J324">
        <v>0.3</v>
      </c>
      <c r="K324">
        <v>23</v>
      </c>
      <c r="L324">
        <v>8</v>
      </c>
      <c r="M324">
        <v>10</v>
      </c>
      <c r="N324">
        <v>6.9</v>
      </c>
    </row>
    <row r="325" spans="1:14" x14ac:dyDescent="0.25">
      <c r="A325" s="52">
        <v>43059</v>
      </c>
      <c r="B325" s="53" t="s">
        <v>158</v>
      </c>
      <c r="C325" s="53" t="s">
        <v>140</v>
      </c>
      <c r="D325">
        <v>55.6</v>
      </c>
      <c r="E325">
        <v>0.87</v>
      </c>
      <c r="F325" s="53" t="s">
        <v>142</v>
      </c>
      <c r="G325">
        <v>41</v>
      </c>
      <c r="H325" s="53" t="s">
        <v>149</v>
      </c>
      <c r="I325">
        <v>15</v>
      </c>
      <c r="J325">
        <v>0.3</v>
      </c>
      <c r="K325">
        <v>22</v>
      </c>
      <c r="L325">
        <v>8</v>
      </c>
      <c r="M325">
        <v>15</v>
      </c>
      <c r="N325">
        <v>6.6</v>
      </c>
    </row>
    <row r="326" spans="1:14" x14ac:dyDescent="0.25">
      <c r="A326" s="52">
        <v>43060</v>
      </c>
      <c r="B326" s="53" t="s">
        <v>158</v>
      </c>
      <c r="C326" s="53" t="s">
        <v>141</v>
      </c>
      <c r="D326">
        <v>47</v>
      </c>
      <c r="E326">
        <v>0.95</v>
      </c>
      <c r="F326" s="53" t="s">
        <v>142</v>
      </c>
      <c r="G326">
        <v>28</v>
      </c>
      <c r="H326" s="53" t="s">
        <v>142</v>
      </c>
      <c r="I326">
        <v>10</v>
      </c>
      <c r="J326">
        <v>0.3</v>
      </c>
      <c r="K326">
        <v>20</v>
      </c>
      <c r="L326">
        <v>8</v>
      </c>
      <c r="M326">
        <v>10</v>
      </c>
      <c r="N326">
        <v>6</v>
      </c>
    </row>
    <row r="327" spans="1:14" x14ac:dyDescent="0.25">
      <c r="A327" s="52">
        <v>43061</v>
      </c>
      <c r="B327" s="53" t="s">
        <v>158</v>
      </c>
      <c r="C327" s="53" t="s">
        <v>143</v>
      </c>
      <c r="D327">
        <v>48.7</v>
      </c>
      <c r="E327">
        <v>0</v>
      </c>
      <c r="F327" s="53" t="s">
        <v>147</v>
      </c>
      <c r="G327">
        <v>40</v>
      </c>
      <c r="H327" s="53" t="s">
        <v>142</v>
      </c>
      <c r="I327">
        <v>10</v>
      </c>
      <c r="J327">
        <v>0.3</v>
      </c>
      <c r="K327">
        <v>19</v>
      </c>
      <c r="L327">
        <v>8</v>
      </c>
      <c r="M327">
        <v>10</v>
      </c>
      <c r="N327">
        <v>5.7</v>
      </c>
    </row>
    <row r="328" spans="1:14" x14ac:dyDescent="0.25">
      <c r="A328" s="52">
        <v>43062</v>
      </c>
      <c r="B328" s="53" t="s">
        <v>158</v>
      </c>
      <c r="C328" s="53" t="s">
        <v>144</v>
      </c>
      <c r="D328">
        <v>51.9</v>
      </c>
      <c r="E328">
        <v>0.87</v>
      </c>
      <c r="F328" s="53" t="s">
        <v>142</v>
      </c>
      <c r="G328">
        <v>47</v>
      </c>
      <c r="H328" s="53" t="s">
        <v>149</v>
      </c>
      <c r="I328">
        <v>15</v>
      </c>
      <c r="J328">
        <v>0.3</v>
      </c>
      <c r="K328">
        <v>23</v>
      </c>
      <c r="L328">
        <v>8</v>
      </c>
      <c r="M328">
        <v>15</v>
      </c>
      <c r="N328">
        <v>6.9</v>
      </c>
    </row>
    <row r="329" spans="1:14" x14ac:dyDescent="0.25">
      <c r="A329" s="52">
        <v>43063</v>
      </c>
      <c r="B329" s="53" t="s">
        <v>158</v>
      </c>
      <c r="C329" s="53" t="s">
        <v>145</v>
      </c>
      <c r="D329">
        <v>53.6</v>
      </c>
      <c r="E329">
        <v>0</v>
      </c>
      <c r="F329" s="53" t="s">
        <v>147</v>
      </c>
      <c r="G329">
        <v>46</v>
      </c>
      <c r="H329" s="53" t="s">
        <v>149</v>
      </c>
      <c r="I329">
        <v>15</v>
      </c>
      <c r="J329">
        <v>0.3</v>
      </c>
      <c r="K329">
        <v>22</v>
      </c>
      <c r="L329">
        <v>8</v>
      </c>
      <c r="M329">
        <v>15</v>
      </c>
      <c r="N329">
        <v>6.6</v>
      </c>
    </row>
    <row r="330" spans="1:14" x14ac:dyDescent="0.25">
      <c r="A330" s="52">
        <v>43064</v>
      </c>
      <c r="B330" s="53" t="s">
        <v>158</v>
      </c>
      <c r="C330" s="53" t="s">
        <v>146</v>
      </c>
      <c r="D330">
        <v>49</v>
      </c>
      <c r="E330">
        <v>0.91</v>
      </c>
      <c r="F330" s="53" t="s">
        <v>142</v>
      </c>
      <c r="G330">
        <v>32</v>
      </c>
      <c r="H330" s="53" t="s">
        <v>142</v>
      </c>
      <c r="I330">
        <v>10</v>
      </c>
      <c r="J330">
        <v>0.3</v>
      </c>
      <c r="K330">
        <v>20</v>
      </c>
      <c r="L330">
        <v>8</v>
      </c>
      <c r="M330">
        <v>10</v>
      </c>
      <c r="N330">
        <v>6</v>
      </c>
    </row>
    <row r="331" spans="1:14" x14ac:dyDescent="0.25">
      <c r="A331" s="52">
        <v>43065</v>
      </c>
      <c r="B331" s="53" t="s">
        <v>158</v>
      </c>
      <c r="C331" s="53" t="s">
        <v>137</v>
      </c>
      <c r="D331">
        <v>49.7</v>
      </c>
      <c r="E331">
        <v>1.05</v>
      </c>
      <c r="F331" s="53" t="s">
        <v>138</v>
      </c>
      <c r="G331">
        <v>30</v>
      </c>
      <c r="H331" s="53" t="s">
        <v>142</v>
      </c>
      <c r="I331">
        <v>10</v>
      </c>
      <c r="J331">
        <v>0.3</v>
      </c>
      <c r="K331">
        <v>19</v>
      </c>
      <c r="L331">
        <v>8</v>
      </c>
      <c r="M331">
        <v>10</v>
      </c>
      <c r="N331">
        <v>5.7</v>
      </c>
    </row>
    <row r="332" spans="1:14" x14ac:dyDescent="0.25">
      <c r="A332" s="52">
        <v>43066</v>
      </c>
      <c r="B332" s="53" t="s">
        <v>158</v>
      </c>
      <c r="C332" s="53" t="s">
        <v>140</v>
      </c>
      <c r="D332">
        <v>53.9</v>
      </c>
      <c r="E332">
        <v>0.87</v>
      </c>
      <c r="F332" s="53" t="s">
        <v>142</v>
      </c>
      <c r="G332">
        <v>30</v>
      </c>
      <c r="H332" s="53" t="s">
        <v>142</v>
      </c>
      <c r="I332">
        <v>10</v>
      </c>
      <c r="J332">
        <v>0.3</v>
      </c>
      <c r="K332">
        <v>23</v>
      </c>
      <c r="L332">
        <v>8</v>
      </c>
      <c r="M332">
        <v>10</v>
      </c>
      <c r="N332">
        <v>6.9</v>
      </c>
    </row>
    <row r="333" spans="1:14" x14ac:dyDescent="0.25">
      <c r="A333" s="52">
        <v>43067</v>
      </c>
      <c r="B333" s="53" t="s">
        <v>158</v>
      </c>
      <c r="C333" s="53" t="s">
        <v>141</v>
      </c>
      <c r="D333">
        <v>54.6</v>
      </c>
      <c r="E333">
        <v>0.91</v>
      </c>
      <c r="F333" s="53" t="s">
        <v>142</v>
      </c>
      <c r="G333">
        <v>37</v>
      </c>
      <c r="H333" s="53" t="s">
        <v>142</v>
      </c>
      <c r="I333">
        <v>10</v>
      </c>
      <c r="J333">
        <v>0.3</v>
      </c>
      <c r="K333">
        <v>22</v>
      </c>
      <c r="L333">
        <v>8</v>
      </c>
      <c r="M333">
        <v>10</v>
      </c>
      <c r="N333">
        <v>6.6</v>
      </c>
    </row>
    <row r="334" spans="1:14" x14ac:dyDescent="0.25">
      <c r="A334" s="52">
        <v>43068</v>
      </c>
      <c r="B334" s="53" t="s">
        <v>158</v>
      </c>
      <c r="C334" s="53" t="s">
        <v>143</v>
      </c>
      <c r="D334">
        <v>50</v>
      </c>
      <c r="E334">
        <v>0.95</v>
      </c>
      <c r="F334" s="53" t="s">
        <v>142</v>
      </c>
      <c r="G334">
        <v>27</v>
      </c>
      <c r="H334" s="53" t="s">
        <v>142</v>
      </c>
      <c r="I334">
        <v>10</v>
      </c>
      <c r="J334">
        <v>0.3</v>
      </c>
      <c r="K334">
        <v>20</v>
      </c>
      <c r="L334">
        <v>8</v>
      </c>
      <c r="M334">
        <v>10</v>
      </c>
      <c r="N334">
        <v>6</v>
      </c>
    </row>
    <row r="335" spans="1:14" x14ac:dyDescent="0.25">
      <c r="A335" s="52">
        <v>43069</v>
      </c>
      <c r="B335" s="53" t="s">
        <v>158</v>
      </c>
      <c r="C335" s="53" t="s">
        <v>144</v>
      </c>
      <c r="D335">
        <v>44.7</v>
      </c>
      <c r="E335">
        <v>1.05</v>
      </c>
      <c r="F335" s="53" t="s">
        <v>138</v>
      </c>
      <c r="G335">
        <v>28</v>
      </c>
      <c r="H335" s="53" t="s">
        <v>142</v>
      </c>
      <c r="I335">
        <v>10</v>
      </c>
      <c r="J335">
        <v>0.3</v>
      </c>
      <c r="K335">
        <v>19</v>
      </c>
      <c r="L335">
        <v>8</v>
      </c>
      <c r="M335">
        <v>10</v>
      </c>
      <c r="N335">
        <v>5.7</v>
      </c>
    </row>
    <row r="336" spans="1:14" x14ac:dyDescent="0.25">
      <c r="A336" s="52">
        <v>43070</v>
      </c>
      <c r="B336" s="53" t="s">
        <v>159</v>
      </c>
      <c r="C336" s="53" t="s">
        <v>145</v>
      </c>
      <c r="D336">
        <v>48.7</v>
      </c>
      <c r="E336">
        <v>1</v>
      </c>
      <c r="F336" s="53" t="s">
        <v>142</v>
      </c>
      <c r="G336">
        <v>34</v>
      </c>
      <c r="H336" s="53" t="s">
        <v>142</v>
      </c>
      <c r="I336">
        <v>10</v>
      </c>
      <c r="J336">
        <v>0.3</v>
      </c>
      <c r="K336">
        <v>19</v>
      </c>
      <c r="L336">
        <v>8</v>
      </c>
      <c r="M336">
        <v>10</v>
      </c>
      <c r="N336">
        <v>5.7</v>
      </c>
    </row>
    <row r="337" spans="1:14" x14ac:dyDescent="0.25">
      <c r="A337" s="52">
        <v>43071</v>
      </c>
      <c r="B337" s="53" t="s">
        <v>159</v>
      </c>
      <c r="C337" s="53" t="s">
        <v>146</v>
      </c>
      <c r="D337">
        <v>44.1</v>
      </c>
      <c r="E337">
        <v>1.1100000000000001</v>
      </c>
      <c r="F337" s="53" t="s">
        <v>138</v>
      </c>
      <c r="G337">
        <v>35</v>
      </c>
      <c r="H337" s="53" t="s">
        <v>142</v>
      </c>
      <c r="I337">
        <v>10</v>
      </c>
      <c r="J337">
        <v>0.3</v>
      </c>
      <c r="K337">
        <v>17</v>
      </c>
      <c r="L337">
        <v>8</v>
      </c>
      <c r="M337">
        <v>10</v>
      </c>
      <c r="N337">
        <v>5.0999999999999996</v>
      </c>
    </row>
    <row r="338" spans="1:14" x14ac:dyDescent="0.25">
      <c r="A338" s="52">
        <v>43072</v>
      </c>
      <c r="B338" s="53" t="s">
        <v>159</v>
      </c>
      <c r="C338" s="53" t="s">
        <v>137</v>
      </c>
      <c r="D338">
        <v>33.5</v>
      </c>
      <c r="E338">
        <v>1.18</v>
      </c>
      <c r="F338" s="53" t="s">
        <v>138</v>
      </c>
      <c r="G338">
        <v>19</v>
      </c>
      <c r="H338" s="53" t="s">
        <v>139</v>
      </c>
      <c r="I338">
        <v>5</v>
      </c>
      <c r="J338">
        <v>0.3</v>
      </c>
      <c r="K338">
        <v>15</v>
      </c>
      <c r="L338">
        <v>8</v>
      </c>
      <c r="M338">
        <v>5</v>
      </c>
      <c r="N338">
        <v>4.5</v>
      </c>
    </row>
    <row r="339" spans="1:14" x14ac:dyDescent="0.25">
      <c r="A339" s="52">
        <v>43073</v>
      </c>
      <c r="B339" s="53" t="s">
        <v>159</v>
      </c>
      <c r="C339" s="53" t="s">
        <v>140</v>
      </c>
      <c r="D339">
        <v>34.9</v>
      </c>
      <c r="E339">
        <v>1.54</v>
      </c>
      <c r="F339" s="53" t="s">
        <v>138</v>
      </c>
      <c r="G339">
        <v>16</v>
      </c>
      <c r="H339" s="53" t="s">
        <v>139</v>
      </c>
      <c r="I339">
        <v>5</v>
      </c>
      <c r="J339">
        <v>0.3</v>
      </c>
      <c r="K339">
        <v>13</v>
      </c>
      <c r="L339">
        <v>8</v>
      </c>
      <c r="M339">
        <v>5</v>
      </c>
      <c r="N339">
        <v>3.9</v>
      </c>
    </row>
    <row r="340" spans="1:14" x14ac:dyDescent="0.25">
      <c r="A340" s="52">
        <v>43074</v>
      </c>
      <c r="B340" s="53" t="s">
        <v>159</v>
      </c>
      <c r="C340" s="53" t="s">
        <v>141</v>
      </c>
      <c r="D340">
        <v>22</v>
      </c>
      <c r="E340">
        <v>0</v>
      </c>
      <c r="F340" s="53" t="s">
        <v>147</v>
      </c>
      <c r="G340">
        <v>11</v>
      </c>
      <c r="H340" s="53" t="s">
        <v>139</v>
      </c>
      <c r="I340">
        <v>5</v>
      </c>
      <c r="J340">
        <v>0.3</v>
      </c>
      <c r="K340">
        <v>10</v>
      </c>
      <c r="L340">
        <v>8</v>
      </c>
      <c r="M340">
        <v>5</v>
      </c>
      <c r="N340">
        <v>3</v>
      </c>
    </row>
    <row r="341" spans="1:14" x14ac:dyDescent="0.25">
      <c r="A341" s="52">
        <v>43075</v>
      </c>
      <c r="B341" s="53" t="s">
        <v>159</v>
      </c>
      <c r="C341" s="53" t="s">
        <v>143</v>
      </c>
      <c r="D341">
        <v>44.7</v>
      </c>
      <c r="E341">
        <v>0</v>
      </c>
      <c r="F341" s="53" t="s">
        <v>147</v>
      </c>
      <c r="G341">
        <v>28</v>
      </c>
      <c r="H341" s="53" t="s">
        <v>142</v>
      </c>
      <c r="I341">
        <v>10</v>
      </c>
      <c r="J341">
        <v>0.3</v>
      </c>
      <c r="K341">
        <v>19</v>
      </c>
      <c r="L341">
        <v>8</v>
      </c>
      <c r="M341">
        <v>10</v>
      </c>
      <c r="N341">
        <v>5.7</v>
      </c>
    </row>
    <row r="342" spans="1:14" x14ac:dyDescent="0.25">
      <c r="A342" s="52">
        <v>43076</v>
      </c>
      <c r="B342" s="53" t="s">
        <v>159</v>
      </c>
      <c r="C342" s="53" t="s">
        <v>144</v>
      </c>
      <c r="D342">
        <v>42.1</v>
      </c>
      <c r="E342">
        <v>0</v>
      </c>
      <c r="F342" s="53" t="s">
        <v>147</v>
      </c>
      <c r="G342">
        <v>26</v>
      </c>
      <c r="H342" s="53" t="s">
        <v>142</v>
      </c>
      <c r="I342">
        <v>10</v>
      </c>
      <c r="J342">
        <v>0.3</v>
      </c>
      <c r="K342">
        <v>17</v>
      </c>
      <c r="L342">
        <v>8</v>
      </c>
      <c r="M342">
        <v>10</v>
      </c>
      <c r="N342">
        <v>5.0999999999999996</v>
      </c>
    </row>
    <row r="343" spans="1:14" x14ac:dyDescent="0.25">
      <c r="A343" s="52">
        <v>43077</v>
      </c>
      <c r="B343" s="53" t="s">
        <v>159</v>
      </c>
      <c r="C343" s="53" t="s">
        <v>145</v>
      </c>
      <c r="D343">
        <v>40.5</v>
      </c>
      <c r="E343">
        <v>0</v>
      </c>
      <c r="F343" s="53" t="s">
        <v>147</v>
      </c>
      <c r="G343">
        <v>30</v>
      </c>
      <c r="H343" s="53" t="s">
        <v>142</v>
      </c>
      <c r="I343">
        <v>10</v>
      </c>
      <c r="J343">
        <v>0.3</v>
      </c>
      <c r="K343">
        <v>15</v>
      </c>
      <c r="L343">
        <v>8</v>
      </c>
      <c r="M343">
        <v>10</v>
      </c>
      <c r="N343">
        <v>4.5</v>
      </c>
    </row>
    <row r="344" spans="1:14" x14ac:dyDescent="0.25">
      <c r="A344" s="52">
        <v>43078</v>
      </c>
      <c r="B344" s="53" t="s">
        <v>159</v>
      </c>
      <c r="C344" s="53" t="s">
        <v>146</v>
      </c>
      <c r="D344">
        <v>31.2</v>
      </c>
      <c r="E344">
        <v>1.43</v>
      </c>
      <c r="F344" s="53" t="s">
        <v>138</v>
      </c>
      <c r="G344">
        <v>19</v>
      </c>
      <c r="H344" s="53" t="s">
        <v>139</v>
      </c>
      <c r="I344">
        <v>5</v>
      </c>
      <c r="J344">
        <v>0.3</v>
      </c>
      <c r="K344">
        <v>14</v>
      </c>
      <c r="L344">
        <v>8</v>
      </c>
      <c r="M344">
        <v>5</v>
      </c>
      <c r="N344">
        <v>4.2</v>
      </c>
    </row>
    <row r="345" spans="1:14" x14ac:dyDescent="0.25">
      <c r="A345" s="52">
        <v>43079</v>
      </c>
      <c r="B345" s="53" t="s">
        <v>159</v>
      </c>
      <c r="C345" s="53" t="s">
        <v>137</v>
      </c>
      <c r="D345">
        <v>31.3</v>
      </c>
      <c r="E345">
        <v>1.82</v>
      </c>
      <c r="F345" s="53" t="s">
        <v>138</v>
      </c>
      <c r="G345">
        <v>15</v>
      </c>
      <c r="H345" s="53" t="s">
        <v>139</v>
      </c>
      <c r="I345">
        <v>5</v>
      </c>
      <c r="J345">
        <v>0.3</v>
      </c>
      <c r="K345">
        <v>11</v>
      </c>
      <c r="L345">
        <v>8</v>
      </c>
      <c r="M345">
        <v>5</v>
      </c>
      <c r="N345">
        <v>3.3</v>
      </c>
    </row>
    <row r="346" spans="1:14" x14ac:dyDescent="0.25">
      <c r="A346" s="52">
        <v>43080</v>
      </c>
      <c r="B346" s="53" t="s">
        <v>159</v>
      </c>
      <c r="C346" s="53" t="s">
        <v>140</v>
      </c>
      <c r="D346">
        <v>45.1</v>
      </c>
      <c r="E346">
        <v>0</v>
      </c>
      <c r="F346" s="53" t="s">
        <v>147</v>
      </c>
      <c r="G346">
        <v>33</v>
      </c>
      <c r="H346" s="53" t="s">
        <v>142</v>
      </c>
      <c r="I346">
        <v>10</v>
      </c>
      <c r="J346">
        <v>0.3</v>
      </c>
      <c r="K346">
        <v>17</v>
      </c>
      <c r="L346">
        <v>8</v>
      </c>
      <c r="M346">
        <v>10</v>
      </c>
      <c r="N346">
        <v>5.0999999999999996</v>
      </c>
    </row>
    <row r="347" spans="1:14" x14ac:dyDescent="0.25">
      <c r="A347" s="52">
        <v>43081</v>
      </c>
      <c r="B347" s="53" t="s">
        <v>159</v>
      </c>
      <c r="C347" s="53" t="s">
        <v>141</v>
      </c>
      <c r="D347">
        <v>33.5</v>
      </c>
      <c r="E347">
        <v>0</v>
      </c>
      <c r="F347" s="53" t="s">
        <v>147</v>
      </c>
      <c r="G347">
        <v>22</v>
      </c>
      <c r="H347" s="53" t="s">
        <v>142</v>
      </c>
      <c r="I347">
        <v>10</v>
      </c>
      <c r="J347">
        <v>0.3</v>
      </c>
      <c r="K347">
        <v>15</v>
      </c>
      <c r="L347">
        <v>8</v>
      </c>
      <c r="M347">
        <v>10</v>
      </c>
      <c r="N347">
        <v>4.5</v>
      </c>
    </row>
    <row r="348" spans="1:14" x14ac:dyDescent="0.25">
      <c r="A348" s="52">
        <v>43082</v>
      </c>
      <c r="B348" s="53" t="s">
        <v>159</v>
      </c>
      <c r="C348" s="53" t="s">
        <v>143</v>
      </c>
      <c r="D348">
        <v>32.200000000000003</v>
      </c>
      <c r="E348">
        <v>0</v>
      </c>
      <c r="F348" s="53" t="s">
        <v>147</v>
      </c>
      <c r="G348">
        <v>26</v>
      </c>
      <c r="H348" s="53" t="s">
        <v>142</v>
      </c>
      <c r="I348">
        <v>10</v>
      </c>
      <c r="J348">
        <v>0.3</v>
      </c>
      <c r="K348">
        <v>14</v>
      </c>
      <c r="L348">
        <v>8</v>
      </c>
      <c r="M348">
        <v>10</v>
      </c>
      <c r="N348">
        <v>4.2</v>
      </c>
    </row>
    <row r="349" spans="1:14" x14ac:dyDescent="0.25">
      <c r="A349" s="52">
        <v>43083</v>
      </c>
      <c r="B349" s="53" t="s">
        <v>159</v>
      </c>
      <c r="C349" s="53" t="s">
        <v>144</v>
      </c>
      <c r="D349">
        <v>31.9</v>
      </c>
      <c r="E349">
        <v>0</v>
      </c>
      <c r="F349" s="53" t="s">
        <v>147</v>
      </c>
      <c r="G349">
        <v>24</v>
      </c>
      <c r="H349" s="53" t="s">
        <v>142</v>
      </c>
      <c r="I349">
        <v>10</v>
      </c>
      <c r="J349">
        <v>0.3</v>
      </c>
      <c r="K349">
        <v>13</v>
      </c>
      <c r="L349">
        <v>8</v>
      </c>
      <c r="M349">
        <v>10</v>
      </c>
      <c r="N349">
        <v>3.9</v>
      </c>
    </row>
    <row r="350" spans="1:14" x14ac:dyDescent="0.25">
      <c r="A350" s="52">
        <v>43084</v>
      </c>
      <c r="B350" s="53" t="s">
        <v>159</v>
      </c>
      <c r="C350" s="53" t="s">
        <v>145</v>
      </c>
      <c r="D350">
        <v>42.1</v>
      </c>
      <c r="E350">
        <v>1.05</v>
      </c>
      <c r="F350" s="53" t="s">
        <v>138</v>
      </c>
      <c r="G350">
        <v>30</v>
      </c>
      <c r="H350" s="53" t="s">
        <v>142</v>
      </c>
      <c r="I350">
        <v>10</v>
      </c>
      <c r="J350">
        <v>0.3</v>
      </c>
      <c r="K350">
        <v>17</v>
      </c>
      <c r="L350">
        <v>8</v>
      </c>
      <c r="M350">
        <v>10</v>
      </c>
      <c r="N350">
        <v>5.0999999999999996</v>
      </c>
    </row>
    <row r="351" spans="1:14" x14ac:dyDescent="0.25">
      <c r="A351" s="52">
        <v>43085</v>
      </c>
      <c r="B351" s="53" t="s">
        <v>159</v>
      </c>
      <c r="C351" s="53" t="s">
        <v>146</v>
      </c>
      <c r="D351">
        <v>35.5</v>
      </c>
      <c r="E351">
        <v>1.25</v>
      </c>
      <c r="F351" s="53" t="s">
        <v>138</v>
      </c>
      <c r="G351">
        <v>30</v>
      </c>
      <c r="H351" s="53" t="s">
        <v>142</v>
      </c>
      <c r="I351">
        <v>10</v>
      </c>
      <c r="J351">
        <v>0.3</v>
      </c>
      <c r="K351">
        <v>15</v>
      </c>
      <c r="L351">
        <v>8</v>
      </c>
      <c r="M351">
        <v>10</v>
      </c>
      <c r="N351">
        <v>4.5</v>
      </c>
    </row>
    <row r="352" spans="1:14" x14ac:dyDescent="0.25">
      <c r="A352" s="52">
        <v>43086</v>
      </c>
      <c r="B352" s="53" t="s">
        <v>159</v>
      </c>
      <c r="C352" s="53" t="s">
        <v>137</v>
      </c>
      <c r="D352">
        <v>32.200000000000003</v>
      </c>
      <c r="E352">
        <v>1.33</v>
      </c>
      <c r="F352" s="53" t="s">
        <v>138</v>
      </c>
      <c r="G352">
        <v>16</v>
      </c>
      <c r="H352" s="53" t="s">
        <v>139</v>
      </c>
      <c r="I352">
        <v>5</v>
      </c>
      <c r="J352">
        <v>0.3</v>
      </c>
      <c r="K352">
        <v>14</v>
      </c>
      <c r="L352">
        <v>8</v>
      </c>
      <c r="M352">
        <v>5</v>
      </c>
      <c r="N352">
        <v>4.2</v>
      </c>
    </row>
    <row r="353" spans="1:14" x14ac:dyDescent="0.25">
      <c r="A353" s="52">
        <v>43087</v>
      </c>
      <c r="B353" s="53" t="s">
        <v>159</v>
      </c>
      <c r="C353" s="53" t="s">
        <v>140</v>
      </c>
      <c r="D353">
        <v>30.9</v>
      </c>
      <c r="E353">
        <v>0</v>
      </c>
      <c r="F353" s="53" t="s">
        <v>147</v>
      </c>
      <c r="G353">
        <v>27</v>
      </c>
      <c r="H353" s="53" t="s">
        <v>142</v>
      </c>
      <c r="I353">
        <v>10</v>
      </c>
      <c r="J353">
        <v>0.3</v>
      </c>
      <c r="K353">
        <v>13</v>
      </c>
      <c r="L353">
        <v>8</v>
      </c>
      <c r="M353">
        <v>10</v>
      </c>
      <c r="N353">
        <v>3.9</v>
      </c>
    </row>
    <row r="354" spans="1:14" x14ac:dyDescent="0.25">
      <c r="A354" s="52">
        <v>43088</v>
      </c>
      <c r="B354" s="53" t="s">
        <v>159</v>
      </c>
      <c r="C354" s="53" t="s">
        <v>141</v>
      </c>
      <c r="D354">
        <v>41.4</v>
      </c>
      <c r="E354">
        <v>0</v>
      </c>
      <c r="F354" s="53" t="s">
        <v>147</v>
      </c>
      <c r="G354">
        <v>33</v>
      </c>
      <c r="H354" s="53" t="s">
        <v>142</v>
      </c>
      <c r="I354">
        <v>10</v>
      </c>
      <c r="J354">
        <v>0.3</v>
      </c>
      <c r="K354">
        <v>18</v>
      </c>
      <c r="L354">
        <v>8</v>
      </c>
      <c r="M354">
        <v>10</v>
      </c>
      <c r="N354">
        <v>5.4</v>
      </c>
    </row>
    <row r="355" spans="1:14" x14ac:dyDescent="0.25">
      <c r="A355" s="52">
        <v>43089</v>
      </c>
      <c r="B355" s="53" t="s">
        <v>159</v>
      </c>
      <c r="C355" s="53" t="s">
        <v>143</v>
      </c>
      <c r="D355">
        <v>36.799999999999997</v>
      </c>
      <c r="E355">
        <v>0</v>
      </c>
      <c r="F355" s="53" t="s">
        <v>147</v>
      </c>
      <c r="G355">
        <v>20</v>
      </c>
      <c r="H355" s="53" t="s">
        <v>142</v>
      </c>
      <c r="I355">
        <v>10</v>
      </c>
      <c r="J355">
        <v>0.3</v>
      </c>
      <c r="K355">
        <v>16</v>
      </c>
      <c r="L355">
        <v>8</v>
      </c>
      <c r="M355">
        <v>10</v>
      </c>
      <c r="N355">
        <v>4.8</v>
      </c>
    </row>
    <row r="356" spans="1:14" x14ac:dyDescent="0.25">
      <c r="A356" s="52">
        <v>43090</v>
      </c>
      <c r="B356" s="53" t="s">
        <v>159</v>
      </c>
      <c r="C356" s="53" t="s">
        <v>144</v>
      </c>
      <c r="D356">
        <v>40.5</v>
      </c>
      <c r="E356">
        <v>0</v>
      </c>
      <c r="F356" s="53" t="s">
        <v>147</v>
      </c>
      <c r="G356">
        <v>23</v>
      </c>
      <c r="H356" s="53" t="s">
        <v>142</v>
      </c>
      <c r="I356">
        <v>10</v>
      </c>
      <c r="J356">
        <v>0.3</v>
      </c>
      <c r="K356">
        <v>15</v>
      </c>
      <c r="L356">
        <v>8</v>
      </c>
      <c r="M356">
        <v>10</v>
      </c>
      <c r="N356">
        <v>4.5</v>
      </c>
    </row>
    <row r="357" spans="1:14" x14ac:dyDescent="0.25">
      <c r="A357" s="52">
        <v>43091</v>
      </c>
      <c r="B357" s="53" t="s">
        <v>159</v>
      </c>
      <c r="C357" s="53" t="s">
        <v>145</v>
      </c>
      <c r="D357">
        <v>30.9</v>
      </c>
      <c r="E357">
        <v>1.54</v>
      </c>
      <c r="F357" s="53" t="s">
        <v>138</v>
      </c>
      <c r="G357">
        <v>17</v>
      </c>
      <c r="H357" s="53" t="s">
        <v>139</v>
      </c>
      <c r="I357">
        <v>5</v>
      </c>
      <c r="J357">
        <v>0.3</v>
      </c>
      <c r="K357">
        <v>13</v>
      </c>
      <c r="L357">
        <v>8</v>
      </c>
      <c r="M357">
        <v>5</v>
      </c>
      <c r="N357">
        <v>3.9</v>
      </c>
    </row>
    <row r="358" spans="1:14" x14ac:dyDescent="0.25">
      <c r="A358" s="52">
        <v>43092</v>
      </c>
      <c r="B358" s="53" t="s">
        <v>159</v>
      </c>
      <c r="C358" s="53" t="s">
        <v>146</v>
      </c>
      <c r="D358">
        <v>42.4</v>
      </c>
      <c r="E358">
        <v>0</v>
      </c>
      <c r="F358" s="53" t="s">
        <v>147</v>
      </c>
      <c r="G358">
        <v>20</v>
      </c>
      <c r="H358" s="53" t="s">
        <v>142</v>
      </c>
      <c r="I358">
        <v>10</v>
      </c>
      <c r="J358">
        <v>0.3</v>
      </c>
      <c r="K358">
        <v>18</v>
      </c>
      <c r="L358">
        <v>8</v>
      </c>
      <c r="M358">
        <v>10</v>
      </c>
      <c r="N358">
        <v>5.4</v>
      </c>
    </row>
    <row r="359" spans="1:14" x14ac:dyDescent="0.25">
      <c r="A359" s="52">
        <v>43093</v>
      </c>
      <c r="B359" s="53" t="s">
        <v>159</v>
      </c>
      <c r="C359" s="53" t="s">
        <v>137</v>
      </c>
      <c r="D359">
        <v>35.799999999999997</v>
      </c>
      <c r="E359">
        <v>0</v>
      </c>
      <c r="F359" s="53" t="s">
        <v>147</v>
      </c>
      <c r="G359">
        <v>26</v>
      </c>
      <c r="H359" s="53" t="s">
        <v>142</v>
      </c>
      <c r="I359">
        <v>10</v>
      </c>
      <c r="J359">
        <v>0.3</v>
      </c>
      <c r="K359">
        <v>16</v>
      </c>
      <c r="L359">
        <v>8</v>
      </c>
      <c r="M359">
        <v>10</v>
      </c>
      <c r="N359">
        <v>4.8</v>
      </c>
    </row>
    <row r="360" spans="1:14" x14ac:dyDescent="0.25">
      <c r="A360" s="52">
        <v>43094</v>
      </c>
      <c r="B360" s="53" t="s">
        <v>159</v>
      </c>
      <c r="C360" s="53" t="s">
        <v>140</v>
      </c>
      <c r="D360">
        <v>35.5</v>
      </c>
      <c r="E360">
        <v>1.25</v>
      </c>
      <c r="F360" s="53" t="s">
        <v>138</v>
      </c>
      <c r="G360">
        <v>19</v>
      </c>
      <c r="H360" s="53" t="s">
        <v>139</v>
      </c>
      <c r="I360">
        <v>5</v>
      </c>
      <c r="J360">
        <v>0.3</v>
      </c>
      <c r="K360">
        <v>15</v>
      </c>
      <c r="L360">
        <v>8</v>
      </c>
      <c r="M360">
        <v>5</v>
      </c>
      <c r="N360">
        <v>4.5</v>
      </c>
    </row>
    <row r="361" spans="1:14" x14ac:dyDescent="0.25">
      <c r="A361" s="52">
        <v>43095</v>
      </c>
      <c r="B361" s="53" t="s">
        <v>159</v>
      </c>
      <c r="C361" s="53" t="s">
        <v>141</v>
      </c>
      <c r="D361">
        <v>28.9</v>
      </c>
      <c r="E361">
        <v>1.43</v>
      </c>
      <c r="F361" s="53" t="s">
        <v>138</v>
      </c>
      <c r="G361">
        <v>23</v>
      </c>
      <c r="H361" s="53" t="s">
        <v>142</v>
      </c>
      <c r="I361">
        <v>10</v>
      </c>
      <c r="J361">
        <v>0.3</v>
      </c>
      <c r="K361">
        <v>13</v>
      </c>
      <c r="L361">
        <v>8</v>
      </c>
      <c r="M361">
        <v>10</v>
      </c>
      <c r="N361">
        <v>3.9</v>
      </c>
    </row>
    <row r="362" spans="1:14" x14ac:dyDescent="0.25">
      <c r="A362" s="52">
        <v>43096</v>
      </c>
      <c r="B362" s="53" t="s">
        <v>159</v>
      </c>
      <c r="C362" s="53" t="s">
        <v>143</v>
      </c>
      <c r="D362">
        <v>42.7</v>
      </c>
      <c r="E362">
        <v>0</v>
      </c>
      <c r="F362" s="53" t="s">
        <v>147</v>
      </c>
      <c r="G362">
        <v>33</v>
      </c>
      <c r="H362" s="53" t="s">
        <v>142</v>
      </c>
      <c r="I362">
        <v>10</v>
      </c>
      <c r="J362">
        <v>0.3</v>
      </c>
      <c r="K362">
        <v>19</v>
      </c>
      <c r="L362">
        <v>8</v>
      </c>
      <c r="M362">
        <v>10</v>
      </c>
      <c r="N362">
        <v>5.7</v>
      </c>
    </row>
    <row r="363" spans="1:14" x14ac:dyDescent="0.25">
      <c r="A363" s="52">
        <v>43097</v>
      </c>
      <c r="B363" s="53" t="s">
        <v>159</v>
      </c>
      <c r="C363" s="53" t="s">
        <v>144</v>
      </c>
      <c r="D363">
        <v>37.799999999999997</v>
      </c>
      <c r="E363">
        <v>0</v>
      </c>
      <c r="F363" s="53" t="s">
        <v>147</v>
      </c>
      <c r="G363">
        <v>32</v>
      </c>
      <c r="H363" s="53" t="s">
        <v>142</v>
      </c>
      <c r="I363">
        <v>10</v>
      </c>
      <c r="J363">
        <v>0.3</v>
      </c>
      <c r="K363">
        <v>16</v>
      </c>
      <c r="L363">
        <v>8</v>
      </c>
      <c r="M363">
        <v>10</v>
      </c>
      <c r="N363">
        <v>4.8</v>
      </c>
    </row>
    <row r="364" spans="1:14" x14ac:dyDescent="0.25">
      <c r="A364" s="52">
        <v>43098</v>
      </c>
      <c r="B364" s="53" t="s">
        <v>159</v>
      </c>
      <c r="C364" s="53" t="s">
        <v>145</v>
      </c>
      <c r="D364">
        <v>39.5</v>
      </c>
      <c r="E364">
        <v>1.25</v>
      </c>
      <c r="F364" s="53" t="s">
        <v>138</v>
      </c>
      <c r="G364">
        <v>17</v>
      </c>
      <c r="H364" s="53" t="s">
        <v>139</v>
      </c>
      <c r="I364">
        <v>5</v>
      </c>
      <c r="J364">
        <v>0.3</v>
      </c>
      <c r="K364">
        <v>15</v>
      </c>
      <c r="L364">
        <v>8</v>
      </c>
      <c r="M364">
        <v>5</v>
      </c>
      <c r="N364">
        <v>4.5</v>
      </c>
    </row>
    <row r="365" spans="1:14" x14ac:dyDescent="0.25">
      <c r="A365" s="52">
        <v>43099</v>
      </c>
      <c r="B365" s="53" t="s">
        <v>159</v>
      </c>
      <c r="C365" s="53" t="s">
        <v>146</v>
      </c>
      <c r="D365">
        <v>30.9</v>
      </c>
      <c r="E365">
        <v>1.43</v>
      </c>
      <c r="F365" s="53" t="s">
        <v>138</v>
      </c>
      <c r="G365">
        <v>22</v>
      </c>
      <c r="H365" s="53" t="s">
        <v>142</v>
      </c>
      <c r="I365">
        <v>10</v>
      </c>
      <c r="J365">
        <v>0.3</v>
      </c>
      <c r="K365">
        <v>13</v>
      </c>
      <c r="L365">
        <v>8</v>
      </c>
      <c r="M365">
        <v>10</v>
      </c>
      <c r="N365">
        <v>3.9</v>
      </c>
    </row>
    <row r="366" spans="1:14" x14ac:dyDescent="0.25">
      <c r="A366" s="52">
        <v>43100</v>
      </c>
      <c r="B366" s="53" t="s">
        <v>159</v>
      </c>
      <c r="C366" s="53" t="s">
        <v>137</v>
      </c>
      <c r="D366">
        <v>15.1</v>
      </c>
      <c r="E366">
        <v>2.5</v>
      </c>
      <c r="F366" s="53" t="s">
        <v>138</v>
      </c>
      <c r="G366">
        <v>9</v>
      </c>
      <c r="H366" s="53" t="s">
        <v>139</v>
      </c>
      <c r="I366">
        <v>5</v>
      </c>
      <c r="J366">
        <v>0.3</v>
      </c>
      <c r="K366">
        <v>7</v>
      </c>
      <c r="L366">
        <v>8</v>
      </c>
      <c r="M366">
        <v>5</v>
      </c>
      <c r="N366">
        <v>2.1</v>
      </c>
    </row>
    <row r="367" spans="1:14" x14ac:dyDescent="0.25">
      <c r="A367" s="52">
        <v>42995</v>
      </c>
      <c r="B367" s="53" t="s">
        <v>156</v>
      </c>
      <c r="C367" s="53" t="s">
        <v>137</v>
      </c>
      <c r="D367">
        <v>59.8</v>
      </c>
      <c r="E367">
        <v>0.71</v>
      </c>
      <c r="F367" s="53" t="s">
        <v>142</v>
      </c>
      <c r="G367">
        <v>53</v>
      </c>
      <c r="H367" s="53" t="s">
        <v>149</v>
      </c>
      <c r="I367">
        <v>15</v>
      </c>
      <c r="J367">
        <v>0.3</v>
      </c>
      <c r="K367">
        <v>26</v>
      </c>
      <c r="L367">
        <v>8</v>
      </c>
      <c r="M367">
        <v>15</v>
      </c>
      <c r="N367">
        <v>7.8</v>
      </c>
    </row>
    <row r="368" spans="1:14" x14ac:dyDescent="0.25">
      <c r="A368" s="52">
        <v>42996</v>
      </c>
      <c r="B368" s="53" t="s">
        <v>156</v>
      </c>
      <c r="C368" s="53" t="s">
        <v>140</v>
      </c>
      <c r="D368">
        <v>64.8</v>
      </c>
      <c r="E368">
        <v>0.71</v>
      </c>
      <c r="F368" s="53" t="s">
        <v>142</v>
      </c>
      <c r="G368">
        <v>37</v>
      </c>
      <c r="H368" s="53" t="s">
        <v>142</v>
      </c>
      <c r="I368">
        <v>10</v>
      </c>
      <c r="J368">
        <v>0.3</v>
      </c>
      <c r="K368">
        <v>26</v>
      </c>
      <c r="L368">
        <v>8</v>
      </c>
      <c r="M368">
        <v>10</v>
      </c>
      <c r="N368">
        <v>7.8</v>
      </c>
    </row>
    <row r="369" spans="1:14" x14ac:dyDescent="0.25">
      <c r="A369" s="52">
        <v>42997</v>
      </c>
      <c r="B369" s="53" t="s">
        <v>156</v>
      </c>
      <c r="C369" s="53" t="s">
        <v>141</v>
      </c>
      <c r="D369">
        <v>67.400000000000006</v>
      </c>
      <c r="E369">
        <v>0</v>
      </c>
      <c r="F369" s="53" t="s">
        <v>147</v>
      </c>
      <c r="G369">
        <v>48</v>
      </c>
      <c r="H369" s="53" t="s">
        <v>149</v>
      </c>
      <c r="I369">
        <v>15</v>
      </c>
      <c r="J369">
        <v>0.3</v>
      </c>
      <c r="K369">
        <v>28</v>
      </c>
      <c r="L369">
        <v>8</v>
      </c>
      <c r="M369">
        <v>25</v>
      </c>
      <c r="N369">
        <v>8.4</v>
      </c>
    </row>
    <row r="370" spans="1:14" x14ac:dyDescent="0.25">
      <c r="A370" s="52">
        <v>42998</v>
      </c>
      <c r="B370" s="53" t="s">
        <v>156</v>
      </c>
      <c r="C370" s="53" t="s">
        <v>143</v>
      </c>
      <c r="D370">
        <v>67.099999999999994</v>
      </c>
      <c r="E370">
        <v>0</v>
      </c>
      <c r="F370" s="53" t="s">
        <v>147</v>
      </c>
      <c r="G370">
        <v>52</v>
      </c>
      <c r="H370" s="53" t="s">
        <v>149</v>
      </c>
      <c r="I370">
        <v>15</v>
      </c>
      <c r="J370">
        <v>0.3</v>
      </c>
      <c r="K370">
        <v>27</v>
      </c>
      <c r="L370">
        <v>8</v>
      </c>
      <c r="M370">
        <v>25</v>
      </c>
      <c r="N370">
        <v>8.1</v>
      </c>
    </row>
    <row r="371" spans="1:14" x14ac:dyDescent="0.25">
      <c r="A371" s="52">
        <v>42999</v>
      </c>
      <c r="B371" s="53" t="s">
        <v>156</v>
      </c>
      <c r="C371" s="53" t="s">
        <v>144</v>
      </c>
      <c r="D371">
        <v>59.8</v>
      </c>
      <c r="E371">
        <v>0.71</v>
      </c>
      <c r="F371" s="53" t="s">
        <v>142</v>
      </c>
      <c r="G371">
        <v>42</v>
      </c>
      <c r="H371" s="53" t="s">
        <v>149</v>
      </c>
      <c r="I371">
        <v>15</v>
      </c>
      <c r="J371">
        <v>0.3</v>
      </c>
      <c r="K371">
        <v>26</v>
      </c>
      <c r="L371">
        <v>8</v>
      </c>
      <c r="M371">
        <v>15</v>
      </c>
      <c r="N371">
        <v>7.8</v>
      </c>
    </row>
    <row r="372" spans="1:14" x14ac:dyDescent="0.25">
      <c r="A372" s="52">
        <v>43000</v>
      </c>
      <c r="B372" s="53" t="s">
        <v>156</v>
      </c>
      <c r="C372" s="53" t="s">
        <v>145</v>
      </c>
      <c r="D372">
        <v>64.8</v>
      </c>
      <c r="E372">
        <v>0.74</v>
      </c>
      <c r="F372" s="53" t="s">
        <v>142</v>
      </c>
      <c r="G372">
        <v>34</v>
      </c>
      <c r="H372" s="53" t="s">
        <v>142</v>
      </c>
      <c r="I372">
        <v>10</v>
      </c>
      <c r="J372">
        <v>0.3</v>
      </c>
      <c r="K372">
        <v>26</v>
      </c>
      <c r="L372">
        <v>8</v>
      </c>
      <c r="M372">
        <v>10</v>
      </c>
      <c r="N372">
        <v>7.8</v>
      </c>
    </row>
    <row r="373" spans="1:14" x14ac:dyDescent="0.25">
      <c r="A373" s="52">
        <v>43001</v>
      </c>
      <c r="B373" s="53" t="s">
        <v>156</v>
      </c>
      <c r="C373" s="53" t="s">
        <v>146</v>
      </c>
      <c r="D373">
        <v>63.4</v>
      </c>
      <c r="E373">
        <v>0.71</v>
      </c>
      <c r="F373" s="53" t="s">
        <v>142</v>
      </c>
      <c r="G373">
        <v>39</v>
      </c>
      <c r="H373" s="53" t="s">
        <v>142</v>
      </c>
      <c r="I373">
        <v>10</v>
      </c>
      <c r="J373">
        <v>0.3</v>
      </c>
      <c r="K373">
        <v>28</v>
      </c>
      <c r="L373">
        <v>8</v>
      </c>
      <c r="M373">
        <v>20</v>
      </c>
      <c r="N373">
        <v>8.4</v>
      </c>
    </row>
    <row r="374" spans="1:14" x14ac:dyDescent="0.25">
      <c r="A374" s="52">
        <v>43002</v>
      </c>
      <c r="B374" s="53" t="s">
        <v>156</v>
      </c>
      <c r="C374" s="53" t="s">
        <v>137</v>
      </c>
      <c r="D374">
        <v>63.4</v>
      </c>
      <c r="E374">
        <v>0.71</v>
      </c>
      <c r="F374" s="53" t="s">
        <v>142</v>
      </c>
      <c r="G374">
        <v>43</v>
      </c>
      <c r="H374" s="53" t="s">
        <v>149</v>
      </c>
      <c r="I374">
        <v>15</v>
      </c>
      <c r="J374">
        <v>0.3</v>
      </c>
      <c r="K374">
        <v>28</v>
      </c>
      <c r="L374">
        <v>8</v>
      </c>
      <c r="M374">
        <v>25</v>
      </c>
      <c r="N374">
        <v>8.4</v>
      </c>
    </row>
    <row r="375" spans="1:14" x14ac:dyDescent="0.25">
      <c r="A375" s="52">
        <v>43003</v>
      </c>
      <c r="B375" s="53" t="s">
        <v>156</v>
      </c>
      <c r="C375" s="53" t="s">
        <v>140</v>
      </c>
      <c r="D375">
        <v>61.1</v>
      </c>
      <c r="E375">
        <v>0.71</v>
      </c>
      <c r="F375" s="53" t="s">
        <v>142</v>
      </c>
      <c r="G375">
        <v>33</v>
      </c>
      <c r="H375" s="53" t="s">
        <v>142</v>
      </c>
      <c r="I375">
        <v>10</v>
      </c>
      <c r="J375">
        <v>0.3</v>
      </c>
      <c r="K375">
        <v>27</v>
      </c>
      <c r="L375">
        <v>8</v>
      </c>
      <c r="M375">
        <v>20</v>
      </c>
      <c r="N375">
        <v>8.1</v>
      </c>
    </row>
    <row r="376" spans="1:14" x14ac:dyDescent="0.25">
      <c r="A376" s="52">
        <v>43004</v>
      </c>
      <c r="B376" s="53" t="s">
        <v>156</v>
      </c>
      <c r="C376" s="53" t="s">
        <v>141</v>
      </c>
      <c r="D376">
        <v>61.8</v>
      </c>
      <c r="E376">
        <v>0.77</v>
      </c>
      <c r="F376" s="53" t="s">
        <v>142</v>
      </c>
      <c r="G376">
        <v>51</v>
      </c>
      <c r="H376" s="53" t="s">
        <v>149</v>
      </c>
      <c r="I376">
        <v>15</v>
      </c>
      <c r="J376">
        <v>0.3</v>
      </c>
      <c r="K376">
        <v>26</v>
      </c>
      <c r="L376">
        <v>8</v>
      </c>
      <c r="M376">
        <v>15</v>
      </c>
      <c r="N376">
        <v>7.8</v>
      </c>
    </row>
    <row r="377" spans="1:14" x14ac:dyDescent="0.25">
      <c r="A377" s="52">
        <v>43005</v>
      </c>
      <c r="B377" s="53" t="s">
        <v>156</v>
      </c>
      <c r="C377" s="53" t="s">
        <v>143</v>
      </c>
      <c r="D377">
        <v>70.7</v>
      </c>
      <c r="E377">
        <v>0</v>
      </c>
      <c r="F377" s="53" t="s">
        <v>147</v>
      </c>
      <c r="G377">
        <v>51</v>
      </c>
      <c r="H377" s="53" t="s">
        <v>149</v>
      </c>
      <c r="I377">
        <v>15</v>
      </c>
      <c r="J377">
        <v>0.3</v>
      </c>
      <c r="K377">
        <v>29</v>
      </c>
      <c r="L377">
        <v>8</v>
      </c>
      <c r="M377">
        <v>25</v>
      </c>
      <c r="N377">
        <v>8.6999999999999993</v>
      </c>
    </row>
    <row r="378" spans="1:14" x14ac:dyDescent="0.25">
      <c r="A378" s="52">
        <v>43006</v>
      </c>
      <c r="B378" s="53" t="s">
        <v>156</v>
      </c>
      <c r="C378" s="53" t="s">
        <v>144</v>
      </c>
      <c r="D378">
        <v>67.400000000000006</v>
      </c>
      <c r="E378">
        <v>0</v>
      </c>
      <c r="F378" s="53" t="s">
        <v>147</v>
      </c>
      <c r="G378">
        <v>38</v>
      </c>
      <c r="H378" s="53" t="s">
        <v>142</v>
      </c>
      <c r="I378">
        <v>10</v>
      </c>
      <c r="J378">
        <v>0.3</v>
      </c>
      <c r="K378">
        <v>28</v>
      </c>
      <c r="L378">
        <v>8</v>
      </c>
      <c r="M378">
        <v>20</v>
      </c>
      <c r="N378">
        <v>8.4</v>
      </c>
    </row>
    <row r="379" spans="1:14" x14ac:dyDescent="0.25">
      <c r="A379" s="52">
        <v>43007</v>
      </c>
      <c r="B379" s="53" t="s">
        <v>156</v>
      </c>
      <c r="C379" s="53" t="s">
        <v>145</v>
      </c>
      <c r="D379">
        <v>66.099999999999994</v>
      </c>
      <c r="E379">
        <v>0.71</v>
      </c>
      <c r="F379" s="53" t="s">
        <v>142</v>
      </c>
      <c r="G379">
        <v>48</v>
      </c>
      <c r="H379" s="53" t="s">
        <v>149</v>
      </c>
      <c r="I379">
        <v>15</v>
      </c>
      <c r="J379">
        <v>0.3</v>
      </c>
      <c r="K379">
        <v>27</v>
      </c>
      <c r="L379">
        <v>8</v>
      </c>
      <c r="M379">
        <v>25</v>
      </c>
      <c r="N379">
        <v>8.1</v>
      </c>
    </row>
    <row r="380" spans="1:14" x14ac:dyDescent="0.25">
      <c r="A380" s="52">
        <v>43008</v>
      </c>
      <c r="B380" s="53" t="s">
        <v>156</v>
      </c>
      <c r="C380" s="53" t="s">
        <v>146</v>
      </c>
      <c r="D380">
        <v>64.8</v>
      </c>
      <c r="E380">
        <v>0.74</v>
      </c>
      <c r="F380" s="53" t="s">
        <v>142</v>
      </c>
      <c r="G380">
        <v>29</v>
      </c>
      <c r="H380" s="53" t="s">
        <v>142</v>
      </c>
      <c r="I380">
        <v>10</v>
      </c>
      <c r="J380">
        <v>0.3</v>
      </c>
      <c r="K380">
        <v>26</v>
      </c>
      <c r="L380">
        <v>8</v>
      </c>
      <c r="M380">
        <v>10</v>
      </c>
      <c r="N380">
        <v>7.8</v>
      </c>
    </row>
    <row r="381" spans="1:14" x14ac:dyDescent="0.25">
      <c r="A381" s="52">
        <v>43033</v>
      </c>
      <c r="B381" s="53" t="s">
        <v>157</v>
      </c>
      <c r="C381" s="53" t="s">
        <v>143</v>
      </c>
      <c r="D381">
        <v>61.2</v>
      </c>
      <c r="E381">
        <v>0</v>
      </c>
      <c r="F381" s="53" t="s">
        <v>147</v>
      </c>
      <c r="G381">
        <v>44</v>
      </c>
      <c r="H381" s="53" t="s">
        <v>149</v>
      </c>
      <c r="I381">
        <v>15</v>
      </c>
      <c r="J381">
        <v>0.3</v>
      </c>
      <c r="K381">
        <v>24</v>
      </c>
      <c r="L381">
        <v>8</v>
      </c>
      <c r="M381">
        <v>15</v>
      </c>
      <c r="N381">
        <v>7.2</v>
      </c>
    </row>
    <row r="382" spans="1:14" x14ac:dyDescent="0.25">
      <c r="A382" s="52">
        <v>43034</v>
      </c>
      <c r="B382" s="53" t="s">
        <v>157</v>
      </c>
      <c r="C382" s="53" t="s">
        <v>144</v>
      </c>
      <c r="D382">
        <v>54.2</v>
      </c>
      <c r="E382">
        <v>0.77</v>
      </c>
      <c r="F382" s="53" t="s">
        <v>142</v>
      </c>
      <c r="G382">
        <v>47</v>
      </c>
      <c r="H382" s="53" t="s">
        <v>149</v>
      </c>
      <c r="I382">
        <v>15</v>
      </c>
      <c r="J382">
        <v>0.3</v>
      </c>
      <c r="K382">
        <v>24</v>
      </c>
      <c r="L382">
        <v>8</v>
      </c>
      <c r="M382">
        <v>15</v>
      </c>
      <c r="N382">
        <v>7.2</v>
      </c>
    </row>
    <row r="383" spans="1:14" x14ac:dyDescent="0.25">
      <c r="A383" s="52">
        <v>43035</v>
      </c>
      <c r="B383" s="53" t="s">
        <v>157</v>
      </c>
      <c r="C383" s="53" t="s">
        <v>145</v>
      </c>
      <c r="D383">
        <v>62.8</v>
      </c>
      <c r="E383">
        <v>0.71</v>
      </c>
      <c r="F383" s="53" t="s">
        <v>142</v>
      </c>
      <c r="G383">
        <v>52</v>
      </c>
      <c r="H383" s="53" t="s">
        <v>149</v>
      </c>
      <c r="I383">
        <v>15</v>
      </c>
      <c r="J383">
        <v>0.3</v>
      </c>
      <c r="K383">
        <v>26</v>
      </c>
      <c r="L383">
        <v>8</v>
      </c>
      <c r="M383">
        <v>15</v>
      </c>
      <c r="N383">
        <v>7.8</v>
      </c>
    </row>
    <row r="384" spans="1:14" x14ac:dyDescent="0.25">
      <c r="A384" s="52">
        <v>43036</v>
      </c>
      <c r="B384" s="53" t="s">
        <v>157</v>
      </c>
      <c r="C384" s="53" t="s">
        <v>146</v>
      </c>
      <c r="D384">
        <v>57.5</v>
      </c>
      <c r="E384">
        <v>0.77</v>
      </c>
      <c r="F384" s="53" t="s">
        <v>142</v>
      </c>
      <c r="G384">
        <v>28</v>
      </c>
      <c r="H384" s="53" t="s">
        <v>142</v>
      </c>
      <c r="I384">
        <v>10</v>
      </c>
      <c r="J384">
        <v>0.3</v>
      </c>
      <c r="K384">
        <v>25</v>
      </c>
      <c r="L384">
        <v>8</v>
      </c>
      <c r="M384">
        <v>10</v>
      </c>
      <c r="N384">
        <v>7.5</v>
      </c>
    </row>
    <row r="385" spans="1:14" x14ac:dyDescent="0.25">
      <c r="A385" s="52">
        <v>43037</v>
      </c>
      <c r="B385" s="53" t="s">
        <v>157</v>
      </c>
      <c r="C385" s="53" t="s">
        <v>137</v>
      </c>
      <c r="D385">
        <v>61.5</v>
      </c>
      <c r="E385">
        <v>0</v>
      </c>
      <c r="F385" s="53" t="s">
        <v>147</v>
      </c>
      <c r="G385">
        <v>34</v>
      </c>
      <c r="H385" s="53" t="s">
        <v>142</v>
      </c>
      <c r="I385">
        <v>10</v>
      </c>
      <c r="J385">
        <v>0.3</v>
      </c>
      <c r="K385">
        <v>25</v>
      </c>
      <c r="L385">
        <v>8</v>
      </c>
      <c r="M385">
        <v>10</v>
      </c>
      <c r="N385">
        <v>7.5</v>
      </c>
    </row>
    <row r="386" spans="1:14" x14ac:dyDescent="0.25">
      <c r="A386" s="52">
        <v>43038</v>
      </c>
      <c r="B386" s="53" t="s">
        <v>157</v>
      </c>
      <c r="C386" s="53" t="s">
        <v>140</v>
      </c>
      <c r="D386">
        <v>58.2</v>
      </c>
      <c r="E386">
        <v>0</v>
      </c>
      <c r="F386" s="53" t="s">
        <v>147</v>
      </c>
      <c r="G386">
        <v>35</v>
      </c>
      <c r="H386" s="53" t="s">
        <v>142</v>
      </c>
      <c r="I386">
        <v>10</v>
      </c>
      <c r="J386">
        <v>0.3</v>
      </c>
      <c r="K386">
        <v>24</v>
      </c>
      <c r="L386">
        <v>8</v>
      </c>
      <c r="M386">
        <v>10</v>
      </c>
      <c r="N386">
        <v>7.2</v>
      </c>
    </row>
    <row r="387" spans="1:14" x14ac:dyDescent="0.25">
      <c r="A387" s="52">
        <v>43039</v>
      </c>
      <c r="B387" s="53" t="s">
        <v>157</v>
      </c>
      <c r="C387" s="53" t="s">
        <v>141</v>
      </c>
      <c r="D387">
        <v>54.2</v>
      </c>
      <c r="E387">
        <v>0</v>
      </c>
      <c r="F387" s="53" t="s">
        <v>147</v>
      </c>
      <c r="G387">
        <v>38</v>
      </c>
      <c r="H387" s="53" t="s">
        <v>142</v>
      </c>
      <c r="I387">
        <v>10</v>
      </c>
      <c r="J387">
        <v>0.3</v>
      </c>
      <c r="K387">
        <v>24</v>
      </c>
      <c r="L387">
        <v>8</v>
      </c>
      <c r="M387">
        <v>10</v>
      </c>
      <c r="N387">
        <v>7.2</v>
      </c>
    </row>
    <row r="388" spans="1:14" x14ac:dyDescent="0.25">
      <c r="A388" s="52">
        <v>43040</v>
      </c>
      <c r="B388" s="53" t="s">
        <v>158</v>
      </c>
      <c r="C388" s="53" t="s">
        <v>143</v>
      </c>
      <c r="D388">
        <v>51.9</v>
      </c>
      <c r="E388">
        <v>0</v>
      </c>
      <c r="F388" s="53" t="s">
        <v>147</v>
      </c>
      <c r="G388">
        <v>43</v>
      </c>
      <c r="H388" s="53" t="s">
        <v>149</v>
      </c>
      <c r="I388">
        <v>15</v>
      </c>
      <c r="J388">
        <v>0.3</v>
      </c>
      <c r="K388">
        <v>23</v>
      </c>
      <c r="L388">
        <v>8</v>
      </c>
      <c r="M388">
        <v>15</v>
      </c>
      <c r="N388">
        <v>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7839-B4AA-4142-A5B7-2BFB33EAE9E7}">
  <dimension ref="V3:Y16"/>
  <sheetViews>
    <sheetView workbookViewId="0">
      <selection activeCell="J41" sqref="J41"/>
    </sheetView>
  </sheetViews>
  <sheetFormatPr defaultRowHeight="15" x14ac:dyDescent="0.25"/>
  <cols>
    <col min="23" max="23" width="13.140625" customWidth="1"/>
    <col min="28" max="28" width="10.7109375" bestFit="1" customWidth="1"/>
    <col min="29" max="29" width="9.28515625" bestFit="1" customWidth="1"/>
    <col min="30" max="30" width="11.42578125" bestFit="1" customWidth="1"/>
  </cols>
  <sheetData>
    <row r="3" spans="22:25" ht="18" x14ac:dyDescent="0.25">
      <c r="V3" s="71" t="s">
        <v>103</v>
      </c>
      <c r="W3" s="71"/>
      <c r="X3" s="30">
        <f>SUM(X16,'Q2'!Q8,'Q3'!P8,'Q4'!N17)</f>
        <v>0</v>
      </c>
      <c r="Y3" s="30">
        <f>SUM(W16,'Q2'!P8,'Q3'!O8,'Q4'!M17)</f>
        <v>30</v>
      </c>
    </row>
    <row r="4" spans="22:25" x14ac:dyDescent="0.25">
      <c r="V4" s="9" t="s">
        <v>104</v>
      </c>
      <c r="W4" s="9" t="s">
        <v>105</v>
      </c>
    </row>
    <row r="5" spans="22:25" x14ac:dyDescent="0.25">
      <c r="V5" t="s">
        <v>118</v>
      </c>
      <c r="W5" s="31" t="s">
        <v>106</v>
      </c>
      <c r="X5" s="32"/>
    </row>
    <row r="6" spans="22:25" x14ac:dyDescent="0.25">
      <c r="V6" s="32" t="s">
        <v>107</v>
      </c>
      <c r="W6">
        <v>1</v>
      </c>
      <c r="X6" s="33"/>
    </row>
    <row r="7" spans="22:25" x14ac:dyDescent="0.25">
      <c r="V7" s="32" t="s">
        <v>108</v>
      </c>
      <c r="W7">
        <v>1</v>
      </c>
      <c r="X7" s="33"/>
    </row>
    <row r="8" spans="22:25" x14ac:dyDescent="0.25">
      <c r="V8" s="32" t="s">
        <v>109</v>
      </c>
      <c r="W8">
        <v>1</v>
      </c>
      <c r="X8" s="33"/>
    </row>
    <row r="9" spans="22:25" x14ac:dyDescent="0.25">
      <c r="V9" s="32" t="s">
        <v>110</v>
      </c>
      <c r="W9">
        <v>1</v>
      </c>
      <c r="X9" s="33"/>
    </row>
    <row r="10" spans="22:25" x14ac:dyDescent="0.25">
      <c r="V10" s="32" t="s">
        <v>111</v>
      </c>
      <c r="W10">
        <v>1</v>
      </c>
      <c r="X10" s="33"/>
    </row>
    <row r="11" spans="22:25" x14ac:dyDescent="0.25">
      <c r="V11" s="32" t="s">
        <v>113</v>
      </c>
      <c r="W11">
        <v>1</v>
      </c>
      <c r="X11" s="33"/>
    </row>
    <row r="12" spans="22:25" x14ac:dyDescent="0.25">
      <c r="V12" s="32" t="s">
        <v>114</v>
      </c>
      <c r="W12">
        <v>1</v>
      </c>
      <c r="X12" s="33"/>
    </row>
    <row r="13" spans="22:25" x14ac:dyDescent="0.25">
      <c r="V13" s="32" t="s">
        <v>115</v>
      </c>
      <c r="W13">
        <v>1</v>
      </c>
      <c r="X13" s="33"/>
    </row>
    <row r="14" spans="22:25" x14ac:dyDescent="0.25">
      <c r="V14" s="32" t="s">
        <v>116</v>
      </c>
      <c r="W14">
        <v>1</v>
      </c>
      <c r="X14" s="33"/>
    </row>
    <row r="15" spans="22:25" x14ac:dyDescent="0.25">
      <c r="V15" s="32" t="s">
        <v>117</v>
      </c>
      <c r="W15">
        <v>1</v>
      </c>
      <c r="X15" s="33"/>
    </row>
    <row r="16" spans="22:25" x14ac:dyDescent="0.25">
      <c r="V16" s="32" t="s">
        <v>22</v>
      </c>
      <c r="W16" s="34">
        <f>SUM(W6:W15)</f>
        <v>10</v>
      </c>
      <c r="X16">
        <f>SUM(X6:X15)</f>
        <v>0</v>
      </c>
    </row>
  </sheetData>
  <mergeCells count="1">
    <mergeCell ref="V3:W3"/>
  </mergeCells>
  <phoneticPr fontId="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A0CC-5BFC-46DD-9515-E25E846A92F7}">
  <dimension ref="A1:Q13"/>
  <sheetViews>
    <sheetView workbookViewId="0">
      <selection activeCell="F18" sqref="F18"/>
    </sheetView>
  </sheetViews>
  <sheetFormatPr defaultRowHeight="15" x14ac:dyDescent="0.25"/>
  <cols>
    <col min="1" max="1" width="22.85546875" bestFit="1" customWidth="1"/>
    <col min="2" max="4" width="7.7109375" bestFit="1" customWidth="1"/>
    <col min="5" max="5" width="8.28515625" bestFit="1" customWidth="1"/>
    <col min="6" max="6" width="15.7109375" bestFit="1" customWidth="1"/>
    <col min="8" max="8" width="20.28515625" customWidth="1"/>
  </cols>
  <sheetData>
    <row r="1" spans="1:17" ht="31.5" x14ac:dyDescent="0.5">
      <c r="A1" s="2" t="s">
        <v>3</v>
      </c>
      <c r="B1" s="3"/>
      <c r="C1" s="3"/>
      <c r="D1" s="3"/>
      <c r="E1" s="3"/>
      <c r="F1" s="3"/>
      <c r="G1" s="3"/>
      <c r="H1" s="3"/>
    </row>
    <row r="2" spans="1:17" ht="30" x14ac:dyDescent="0.25">
      <c r="A2" s="4" t="s">
        <v>4</v>
      </c>
      <c r="B2" s="4" t="s">
        <v>5</v>
      </c>
      <c r="C2" s="4" t="s">
        <v>6</v>
      </c>
      <c r="D2" s="4" t="s">
        <v>7</v>
      </c>
      <c r="E2" s="5" t="s">
        <v>8</v>
      </c>
      <c r="F2" s="6" t="s">
        <v>9</v>
      </c>
      <c r="G2" s="7">
        <f>COUNT(B3:D12)</f>
        <v>30</v>
      </c>
      <c r="H2" s="3"/>
    </row>
    <row r="3" spans="1:17" x14ac:dyDescent="0.25">
      <c r="A3" s="3" t="s">
        <v>10</v>
      </c>
      <c r="B3" s="8">
        <v>1</v>
      </c>
      <c r="C3" s="8">
        <v>1</v>
      </c>
      <c r="D3" s="8">
        <v>0</v>
      </c>
      <c r="E3" s="59">
        <f>AVERAGEA(B3:D3)</f>
        <v>0.66666666666666663</v>
      </c>
      <c r="F3" s="6" t="s">
        <v>11</v>
      </c>
      <c r="G3" s="7">
        <f>COUNTIF(B3:D12,1)</f>
        <v>16</v>
      </c>
      <c r="H3" s="3"/>
      <c r="P3" s="31" t="s">
        <v>106</v>
      </c>
      <c r="Q3" s="32"/>
    </row>
    <row r="4" spans="1:17" x14ac:dyDescent="0.25">
      <c r="A4" s="3" t="s">
        <v>12</v>
      </c>
      <c r="B4" s="8">
        <v>1</v>
      </c>
      <c r="C4" s="8">
        <v>0</v>
      </c>
      <c r="D4" s="8">
        <v>0</v>
      </c>
      <c r="E4" s="59">
        <f t="shared" ref="E4:E12" si="0">AVERAGEA(B4:D4)</f>
        <v>0.33333333333333331</v>
      </c>
      <c r="F4" s="6" t="s">
        <v>13</v>
      </c>
      <c r="G4" s="7">
        <f>G2-G3</f>
        <v>14</v>
      </c>
      <c r="H4" s="3"/>
      <c r="O4" s="32" t="s">
        <v>107</v>
      </c>
      <c r="P4">
        <v>1</v>
      </c>
      <c r="Q4" s="33"/>
    </row>
    <row r="5" spans="1:17" x14ac:dyDescent="0.25">
      <c r="A5" s="3" t="s">
        <v>14</v>
      </c>
      <c r="B5" s="8">
        <v>0</v>
      </c>
      <c r="C5" s="8">
        <v>0</v>
      </c>
      <c r="D5" s="8">
        <v>0</v>
      </c>
      <c r="E5" s="59">
        <f t="shared" si="0"/>
        <v>0</v>
      </c>
      <c r="F5" s="3"/>
      <c r="G5" s="3"/>
      <c r="H5" s="3"/>
      <c r="O5" s="32" t="s">
        <v>108</v>
      </c>
      <c r="P5">
        <v>1</v>
      </c>
      <c r="Q5" s="33"/>
    </row>
    <row r="6" spans="1:17" x14ac:dyDescent="0.25">
      <c r="A6" s="3" t="s">
        <v>15</v>
      </c>
      <c r="B6" s="8">
        <v>1</v>
      </c>
      <c r="C6" s="8">
        <v>0</v>
      </c>
      <c r="D6" s="8">
        <v>1</v>
      </c>
      <c r="E6" s="59">
        <f t="shared" si="0"/>
        <v>0.66666666666666663</v>
      </c>
      <c r="F6" s="3"/>
      <c r="G6" s="3"/>
      <c r="H6" s="3"/>
      <c r="O6" s="32" t="s">
        <v>109</v>
      </c>
      <c r="P6">
        <v>1</v>
      </c>
      <c r="Q6" s="33"/>
    </row>
    <row r="7" spans="1:17" x14ac:dyDescent="0.25">
      <c r="A7" s="3" t="s">
        <v>16</v>
      </c>
      <c r="B7" s="8">
        <v>1</v>
      </c>
      <c r="C7" s="8">
        <v>0</v>
      </c>
      <c r="D7" s="8">
        <v>1</v>
      </c>
      <c r="E7" s="59">
        <f t="shared" si="0"/>
        <v>0.66666666666666663</v>
      </c>
      <c r="F7" s="3"/>
      <c r="G7" s="3"/>
      <c r="H7" s="3"/>
      <c r="O7" s="32" t="s">
        <v>110</v>
      </c>
      <c r="P7">
        <v>1</v>
      </c>
      <c r="Q7" s="33"/>
    </row>
    <row r="8" spans="1:17" x14ac:dyDescent="0.25">
      <c r="A8" s="3" t="s">
        <v>17</v>
      </c>
      <c r="B8" s="8">
        <v>1</v>
      </c>
      <c r="C8" s="8">
        <v>0</v>
      </c>
      <c r="D8" s="8">
        <v>1</v>
      </c>
      <c r="E8" s="59">
        <f t="shared" si="0"/>
        <v>0.66666666666666663</v>
      </c>
      <c r="F8" s="3"/>
      <c r="G8" s="3"/>
      <c r="H8" s="3"/>
      <c r="O8" s="9" t="s">
        <v>112</v>
      </c>
      <c r="P8" s="9">
        <f>SUM(P4:P7)</f>
        <v>4</v>
      </c>
      <c r="Q8" s="33">
        <f>SUM(Q4:Q7)</f>
        <v>0</v>
      </c>
    </row>
    <row r="9" spans="1:17" x14ac:dyDescent="0.25">
      <c r="A9" s="3" t="s">
        <v>18</v>
      </c>
      <c r="B9" s="8">
        <v>1</v>
      </c>
      <c r="C9" s="8">
        <v>1</v>
      </c>
      <c r="D9" s="8">
        <v>1</v>
      </c>
      <c r="E9" s="59">
        <f t="shared" si="0"/>
        <v>1</v>
      </c>
      <c r="F9" s="3"/>
      <c r="G9" s="3"/>
      <c r="H9" s="3"/>
    </row>
    <row r="10" spans="1:17" x14ac:dyDescent="0.25">
      <c r="A10" s="3" t="s">
        <v>19</v>
      </c>
      <c r="B10" s="8">
        <v>0</v>
      </c>
      <c r="C10" s="8">
        <v>1</v>
      </c>
      <c r="D10" s="8">
        <v>0</v>
      </c>
      <c r="E10" s="59">
        <f t="shared" si="0"/>
        <v>0.33333333333333331</v>
      </c>
      <c r="F10" s="3"/>
      <c r="G10" s="3"/>
      <c r="H10" s="3"/>
    </row>
    <row r="11" spans="1:17" x14ac:dyDescent="0.25">
      <c r="A11" s="3" t="s">
        <v>20</v>
      </c>
      <c r="B11" s="8">
        <v>1</v>
      </c>
      <c r="C11" s="8">
        <v>1</v>
      </c>
      <c r="D11" s="8">
        <v>0</v>
      </c>
      <c r="E11" s="59">
        <f t="shared" si="0"/>
        <v>0.66666666666666663</v>
      </c>
      <c r="F11" s="3"/>
      <c r="G11" s="3"/>
      <c r="H11" s="3"/>
    </row>
    <row r="12" spans="1:17" x14ac:dyDescent="0.25">
      <c r="A12" s="3" t="s">
        <v>21</v>
      </c>
      <c r="B12" s="8">
        <v>0</v>
      </c>
      <c r="C12" s="8">
        <v>1</v>
      </c>
      <c r="D12" s="8">
        <v>0</v>
      </c>
      <c r="E12" s="59">
        <f t="shared" si="0"/>
        <v>0.33333333333333331</v>
      </c>
      <c r="F12" s="3"/>
      <c r="G12" s="3"/>
      <c r="H12" s="3"/>
    </row>
    <row r="13" spans="1:17" x14ac:dyDescent="0.25">
      <c r="A13" s="3"/>
      <c r="B13" s="3"/>
      <c r="C13" s="3"/>
      <c r="D13" s="3"/>
      <c r="E13" s="3"/>
      <c r="F13" s="3"/>
      <c r="G13" s="3"/>
      <c r="H13" s="3"/>
    </row>
  </sheetData>
  <protectedRanges>
    <protectedRange algorithmName="SHA-512" hashValue="5xiR2kVrrAE0O/c8Zs9Cmphc1StZl/Y4xLkeCUmrRvFBzIVhON/QA7MwxvLaBPstNDeDlAp5AbW5l63uypKZZg==" saltValue="h6NAVNz0eN6CPL3quz4bLw==" spinCount="100000" sqref="O3:Q8" name="Range1"/>
  </protectedRange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999B5-0F06-4341-8F5B-AD2F6E30E399}">
  <dimension ref="A1:P59"/>
  <sheetViews>
    <sheetView tabSelected="1" topLeftCell="A44" workbookViewId="0">
      <selection activeCell="D56" sqref="D56"/>
    </sheetView>
  </sheetViews>
  <sheetFormatPr defaultRowHeight="15" x14ac:dyDescent="0.25"/>
  <cols>
    <col min="1" max="1" width="28.85546875" bestFit="1" customWidth="1"/>
    <col min="2" max="2" width="11.7109375" bestFit="1" customWidth="1"/>
    <col min="3" max="3" width="19.5703125" bestFit="1" customWidth="1"/>
    <col min="4" max="4" width="11.140625" bestFit="1" customWidth="1"/>
    <col min="6" max="6" width="18.7109375" customWidth="1"/>
  </cols>
  <sheetData>
    <row r="1" spans="1:16" x14ac:dyDescent="0.25">
      <c r="O1" t="s">
        <v>106</v>
      </c>
    </row>
    <row r="2" spans="1:16" x14ac:dyDescent="0.25">
      <c r="N2" s="32" t="s">
        <v>107</v>
      </c>
      <c r="O2">
        <v>2</v>
      </c>
      <c r="P2" s="32"/>
    </row>
    <row r="3" spans="1:16" x14ac:dyDescent="0.25">
      <c r="A3" t="s">
        <v>23</v>
      </c>
      <c r="B3" t="s">
        <v>24</v>
      </c>
      <c r="C3" t="s">
        <v>25</v>
      </c>
      <c r="N3" s="32" t="s">
        <v>108</v>
      </c>
      <c r="O3">
        <v>2</v>
      </c>
      <c r="P3" s="33"/>
    </row>
    <row r="4" spans="1:16" x14ac:dyDescent="0.25">
      <c r="A4" t="s">
        <v>26</v>
      </c>
      <c r="B4">
        <v>0</v>
      </c>
      <c r="C4">
        <v>4</v>
      </c>
      <c r="N4" s="32" t="s">
        <v>109</v>
      </c>
      <c r="O4">
        <v>2</v>
      </c>
      <c r="P4" s="33"/>
    </row>
    <row r="5" spans="1:16" ht="21" x14ac:dyDescent="0.35">
      <c r="A5" t="s">
        <v>27</v>
      </c>
      <c r="B5">
        <v>3</v>
      </c>
      <c r="C5">
        <v>6</v>
      </c>
      <c r="E5" s="64" t="s">
        <v>175</v>
      </c>
      <c r="F5" s="64"/>
      <c r="G5" s="65"/>
      <c r="N5" s="32" t="s">
        <v>110</v>
      </c>
      <c r="O5">
        <v>1</v>
      </c>
      <c r="P5" s="33"/>
    </row>
    <row r="6" spans="1:16" x14ac:dyDescent="0.25">
      <c r="A6" t="s">
        <v>28</v>
      </c>
      <c r="B6">
        <v>5</v>
      </c>
      <c r="C6">
        <v>7</v>
      </c>
      <c r="N6" s="32" t="s">
        <v>111</v>
      </c>
      <c r="O6" s="9">
        <v>2</v>
      </c>
      <c r="P6" s="33"/>
    </row>
    <row r="7" spans="1:16" x14ac:dyDescent="0.25">
      <c r="A7" t="s">
        <v>29</v>
      </c>
      <c r="B7">
        <v>6</v>
      </c>
      <c r="C7">
        <v>8</v>
      </c>
      <c r="N7" s="32" t="s">
        <v>113</v>
      </c>
      <c r="O7">
        <v>2</v>
      </c>
      <c r="P7" s="33"/>
    </row>
    <row r="8" spans="1:16" x14ac:dyDescent="0.25">
      <c r="A8" t="s">
        <v>30</v>
      </c>
      <c r="B8">
        <v>3</v>
      </c>
      <c r="C8">
        <v>7</v>
      </c>
      <c r="N8" s="32" t="s">
        <v>112</v>
      </c>
      <c r="O8">
        <f>SUM(O2:O7)</f>
        <v>11</v>
      </c>
      <c r="P8">
        <f>SUM(P2:P7)</f>
        <v>0</v>
      </c>
    </row>
    <row r="13" spans="1:16" x14ac:dyDescent="0.25">
      <c r="A13" s="57" t="s">
        <v>31</v>
      </c>
      <c r="B13" s="57" t="s">
        <v>32</v>
      </c>
    </row>
    <row r="14" spans="1:16" ht="21" x14ac:dyDescent="0.35">
      <c r="A14" t="s">
        <v>1</v>
      </c>
      <c r="B14">
        <v>300000</v>
      </c>
      <c r="D14" s="64" t="s">
        <v>175</v>
      </c>
      <c r="E14" s="64"/>
      <c r="F14" s="65"/>
    </row>
    <row r="15" spans="1:16" x14ac:dyDescent="0.25">
      <c r="A15" t="s">
        <v>33</v>
      </c>
      <c r="B15">
        <v>65000</v>
      </c>
    </row>
    <row r="16" spans="1:16" x14ac:dyDescent="0.25">
      <c r="A16" t="s">
        <v>34</v>
      </c>
      <c r="B16">
        <v>100000</v>
      </c>
    </row>
    <row r="17" spans="1:7" x14ac:dyDescent="0.25">
      <c r="A17" t="s">
        <v>35</v>
      </c>
      <c r="B17">
        <v>80000</v>
      </c>
    </row>
    <row r="18" spans="1:7" x14ac:dyDescent="0.25">
      <c r="A18" t="s">
        <v>36</v>
      </c>
      <c r="B18">
        <v>55000</v>
      </c>
    </row>
    <row r="21" spans="1:7" x14ac:dyDescent="0.25">
      <c r="A21" s="9"/>
      <c r="B21" s="9"/>
      <c r="C21" s="9"/>
      <c r="D21" s="9"/>
      <c r="E21" s="9"/>
      <c r="F21" s="9"/>
    </row>
    <row r="22" spans="1:7" ht="15.75" thickBot="1" x14ac:dyDescent="0.3">
      <c r="A22" s="10" t="s">
        <v>37</v>
      </c>
      <c r="B22" s="10" t="s">
        <v>38</v>
      </c>
      <c r="C22" s="10" t="s">
        <v>39</v>
      </c>
    </row>
    <row r="23" spans="1:7" x14ac:dyDescent="0.25">
      <c r="A23" s="11" t="s">
        <v>40</v>
      </c>
      <c r="B23" s="60" t="s">
        <v>61</v>
      </c>
      <c r="C23" s="12" t="s">
        <v>41</v>
      </c>
      <c r="D23" s="63" t="s">
        <v>174</v>
      </c>
      <c r="E23" s="57"/>
    </row>
    <row r="24" spans="1:7" x14ac:dyDescent="0.25">
      <c r="A24" s="11" t="s">
        <v>42</v>
      </c>
      <c r="B24" s="61" t="s">
        <v>62</v>
      </c>
      <c r="C24" s="12" t="s">
        <v>63</v>
      </c>
      <c r="D24" s="1"/>
      <c r="E24" s="1" t="s">
        <v>176</v>
      </c>
    </row>
    <row r="25" spans="1:7" x14ac:dyDescent="0.25">
      <c r="A25" s="11" t="s">
        <v>43</v>
      </c>
      <c r="B25" s="61" t="s">
        <v>2</v>
      </c>
      <c r="C25" s="12" t="s">
        <v>64</v>
      </c>
    </row>
    <row r="26" spans="1:7" x14ac:dyDescent="0.25">
      <c r="A26" s="11" t="s">
        <v>44</v>
      </c>
      <c r="B26" s="61" t="s">
        <v>65</v>
      </c>
      <c r="C26" s="12" t="s">
        <v>66</v>
      </c>
    </row>
    <row r="27" spans="1:7" x14ac:dyDescent="0.25">
      <c r="A27" s="13" t="s">
        <v>45</v>
      </c>
      <c r="B27" s="62" t="s">
        <v>73</v>
      </c>
      <c r="C27" s="14" t="s">
        <v>74</v>
      </c>
    </row>
    <row r="28" spans="1:7" x14ac:dyDescent="0.25">
      <c r="C28" s="15"/>
    </row>
    <row r="29" spans="1:7" x14ac:dyDescent="0.25">
      <c r="A29" s="16"/>
      <c r="B29" s="9"/>
      <c r="C29" s="9"/>
      <c r="D29" s="9"/>
      <c r="E29" s="9"/>
      <c r="F29" s="9"/>
      <c r="G29" s="9"/>
    </row>
    <row r="30" spans="1:7" x14ac:dyDescent="0.25">
      <c r="A30" s="17" t="s">
        <v>46</v>
      </c>
      <c r="B30" s="18" t="s">
        <v>32</v>
      </c>
      <c r="C30" s="7"/>
      <c r="D30" s="19" t="s">
        <v>47</v>
      </c>
      <c r="E30" s="18" t="s">
        <v>32</v>
      </c>
    </row>
    <row r="31" spans="1:7" x14ac:dyDescent="0.25">
      <c r="A31" s="20" t="s">
        <v>48</v>
      </c>
      <c r="B31" s="21">
        <v>50</v>
      </c>
      <c r="C31" s="7"/>
      <c r="D31" s="22" t="s">
        <v>49</v>
      </c>
      <c r="E31" s="21">
        <v>50</v>
      </c>
    </row>
    <row r="32" spans="1:7" x14ac:dyDescent="0.25">
      <c r="A32" s="20" t="s">
        <v>50</v>
      </c>
      <c r="B32" s="21">
        <v>20</v>
      </c>
      <c r="C32" s="7"/>
      <c r="D32" s="22" t="s">
        <v>51</v>
      </c>
      <c r="E32" s="21">
        <v>30</v>
      </c>
    </row>
    <row r="33" spans="1:5" x14ac:dyDescent="0.25">
      <c r="A33" s="20" t="s">
        <v>52</v>
      </c>
      <c r="B33" s="21">
        <v>60</v>
      </c>
      <c r="C33" s="7"/>
      <c r="D33" s="22" t="s">
        <v>53</v>
      </c>
      <c r="E33" s="21">
        <v>10</v>
      </c>
    </row>
    <row r="34" spans="1:5" x14ac:dyDescent="0.25">
      <c r="A34" s="20" t="s">
        <v>54</v>
      </c>
      <c r="B34" s="21">
        <v>40</v>
      </c>
      <c r="C34" s="7"/>
      <c r="D34" s="22" t="s">
        <v>55</v>
      </c>
      <c r="E34" s="21">
        <v>50</v>
      </c>
    </row>
    <row r="35" spans="1:5" x14ac:dyDescent="0.25">
      <c r="A35" s="23" t="s">
        <v>56</v>
      </c>
      <c r="B35" s="24">
        <f>MIN(B31:B34)</f>
        <v>20</v>
      </c>
      <c r="C35" s="7"/>
      <c r="D35" s="23" t="s">
        <v>57</v>
      </c>
      <c r="E35" s="24">
        <f>MAX(E31:E34)</f>
        <v>50</v>
      </c>
    </row>
    <row r="37" spans="1:5" ht="23.45" customHeight="1" x14ac:dyDescent="0.25">
      <c r="A37" s="25"/>
      <c r="B37" s="9"/>
      <c r="C37" s="9"/>
      <c r="D37" s="9"/>
    </row>
    <row r="38" spans="1:5" x14ac:dyDescent="0.25">
      <c r="A38" s="17" t="s">
        <v>58</v>
      </c>
      <c r="B38" s="17" t="s">
        <v>59</v>
      </c>
      <c r="C38" s="17" t="s">
        <v>60</v>
      </c>
    </row>
    <row r="39" spans="1:5" x14ac:dyDescent="0.25">
      <c r="A39" s="20" t="s">
        <v>61</v>
      </c>
      <c r="B39" s="20" t="s">
        <v>41</v>
      </c>
      <c r="C39" s="26" t="str">
        <f>A39&amp;" "&amp;B39</f>
        <v>Nancy Smith</v>
      </c>
    </row>
    <row r="40" spans="1:5" x14ac:dyDescent="0.25">
      <c r="A40" s="20" t="s">
        <v>62</v>
      </c>
      <c r="B40" s="20" t="s">
        <v>63</v>
      </c>
      <c r="C40" s="27" t="str">
        <f>A40&amp;" "&amp;B40</f>
        <v>Andy North</v>
      </c>
    </row>
    <row r="41" spans="1:5" x14ac:dyDescent="0.25">
      <c r="A41" s="20" t="s">
        <v>2</v>
      </c>
      <c r="B41" s="20" t="s">
        <v>64</v>
      </c>
      <c r="C41" s="27" t="str">
        <f t="shared" ref="C41:C46" si="0">A41&amp;" "&amp;B41</f>
        <v>Jan Kotas</v>
      </c>
    </row>
    <row r="42" spans="1:5" x14ac:dyDescent="0.25">
      <c r="A42" s="20" t="s">
        <v>65</v>
      </c>
      <c r="B42" s="20" t="s">
        <v>66</v>
      </c>
      <c r="C42" s="27" t="str">
        <f t="shared" si="0"/>
        <v>Mariya Jones</v>
      </c>
    </row>
    <row r="43" spans="1:5" x14ac:dyDescent="0.25">
      <c r="A43" s="20" t="s">
        <v>67</v>
      </c>
      <c r="B43" s="20" t="s">
        <v>68</v>
      </c>
      <c r="C43" s="27" t="str">
        <f t="shared" si="0"/>
        <v>Steven Thorpe</v>
      </c>
    </row>
    <row r="44" spans="1:5" x14ac:dyDescent="0.25">
      <c r="A44" s="20" t="s">
        <v>69</v>
      </c>
      <c r="B44" s="20" t="s">
        <v>70</v>
      </c>
      <c r="C44" s="27" t="str">
        <f t="shared" si="0"/>
        <v>Michael Neipper</v>
      </c>
    </row>
    <row r="45" spans="1:5" x14ac:dyDescent="0.25">
      <c r="A45" s="20" t="s">
        <v>71</v>
      </c>
      <c r="B45" s="20" t="s">
        <v>72</v>
      </c>
      <c r="C45" s="27" t="str">
        <f t="shared" si="0"/>
        <v>Robert Zare</v>
      </c>
    </row>
    <row r="46" spans="1:5" x14ac:dyDescent="0.25">
      <c r="A46" s="20" t="s">
        <v>73</v>
      </c>
      <c r="B46" s="20" t="s">
        <v>74</v>
      </c>
      <c r="C46" s="27" t="str">
        <f t="shared" si="0"/>
        <v>Yvonne McKay</v>
      </c>
    </row>
    <row r="51" spans="1:7" x14ac:dyDescent="0.25">
      <c r="A51" s="35" t="s">
        <v>58</v>
      </c>
      <c r="B51" s="35" t="s">
        <v>59</v>
      </c>
      <c r="C51" s="35" t="s">
        <v>119</v>
      </c>
      <c r="D51" s="35" t="s">
        <v>120</v>
      </c>
      <c r="F51" s="35" t="s">
        <v>121</v>
      </c>
      <c r="G51" s="35" t="s">
        <v>120</v>
      </c>
    </row>
    <row r="52" spans="1:7" x14ac:dyDescent="0.25">
      <c r="A52" s="20" t="s">
        <v>61</v>
      </c>
      <c r="B52" s="20" t="s">
        <v>41</v>
      </c>
      <c r="C52" s="36">
        <v>35</v>
      </c>
      <c r="D52" s="37" t="str">
        <f>IF(C52&gt;=80,"5",IF(C52&gt;=70,"4",IF(C52&gt;=60,"3",IF(C52&gt;=50,"2",IF(C52&gt;=40,"1","0")))))</f>
        <v>0</v>
      </c>
      <c r="F52" s="38">
        <v>0</v>
      </c>
      <c r="G52" s="38">
        <v>0</v>
      </c>
    </row>
    <row r="53" spans="1:7" x14ac:dyDescent="0.25">
      <c r="A53" s="20" t="s">
        <v>62</v>
      </c>
      <c r="B53" s="20" t="s">
        <v>63</v>
      </c>
      <c r="C53" s="36">
        <v>69</v>
      </c>
      <c r="D53" s="37" t="str">
        <f t="shared" ref="D53:D59" si="1">IF(C53&gt;=80,"5",IF(C53&gt;=70,"4",IF(C53&gt;=60,"3",IF(C53&gt;=50,"2",IF(C53&gt;=40,"1","0")))))</f>
        <v>3</v>
      </c>
      <c r="F53" s="38">
        <v>40</v>
      </c>
      <c r="G53" s="38">
        <v>1</v>
      </c>
    </row>
    <row r="54" spans="1:7" x14ac:dyDescent="0.25">
      <c r="A54" s="20" t="s">
        <v>2</v>
      </c>
      <c r="B54" s="20" t="s">
        <v>64</v>
      </c>
      <c r="C54" s="36">
        <v>55</v>
      </c>
      <c r="D54" s="37" t="str">
        <f t="shared" si="1"/>
        <v>2</v>
      </c>
      <c r="F54" s="38">
        <v>50</v>
      </c>
      <c r="G54" s="38">
        <v>2</v>
      </c>
    </row>
    <row r="55" spans="1:7" x14ac:dyDescent="0.25">
      <c r="A55" s="20" t="s">
        <v>65</v>
      </c>
      <c r="B55" s="20" t="s">
        <v>66</v>
      </c>
      <c r="C55" s="36">
        <v>70</v>
      </c>
      <c r="D55" s="37" t="str">
        <f t="shared" si="1"/>
        <v>4</v>
      </c>
      <c r="F55" s="38">
        <v>60</v>
      </c>
      <c r="G55" s="38">
        <v>3</v>
      </c>
    </row>
    <row r="56" spans="1:7" x14ac:dyDescent="0.25">
      <c r="A56" s="20" t="s">
        <v>67</v>
      </c>
      <c r="B56" s="20" t="s">
        <v>68</v>
      </c>
      <c r="C56" s="36">
        <v>65</v>
      </c>
      <c r="D56" s="37" t="str">
        <f t="shared" si="1"/>
        <v>3</v>
      </c>
      <c r="F56" s="38">
        <v>70</v>
      </c>
      <c r="G56" s="38">
        <v>4</v>
      </c>
    </row>
    <row r="57" spans="1:7" x14ac:dyDescent="0.25">
      <c r="A57" s="20" t="s">
        <v>69</v>
      </c>
      <c r="B57" s="20" t="s">
        <v>70</v>
      </c>
      <c r="C57" s="36">
        <v>92</v>
      </c>
      <c r="D57" s="37" t="str">
        <f t="shared" si="1"/>
        <v>5</v>
      </c>
      <c r="F57" s="38">
        <v>80</v>
      </c>
      <c r="G57" s="38">
        <v>5</v>
      </c>
    </row>
    <row r="58" spans="1:7" x14ac:dyDescent="0.25">
      <c r="A58" s="20" t="s">
        <v>71</v>
      </c>
      <c r="B58" s="20" t="s">
        <v>72</v>
      </c>
      <c r="C58" s="36">
        <v>74</v>
      </c>
      <c r="D58" s="37" t="str">
        <f t="shared" si="1"/>
        <v>4</v>
      </c>
    </row>
    <row r="59" spans="1:7" x14ac:dyDescent="0.25">
      <c r="A59" s="20" t="s">
        <v>73</v>
      </c>
      <c r="B59" s="20" t="s">
        <v>74</v>
      </c>
      <c r="C59" s="36">
        <v>90</v>
      </c>
      <c r="D59" s="37" t="str">
        <f t="shared" si="1"/>
        <v>5</v>
      </c>
    </row>
  </sheetData>
  <protectedRanges>
    <protectedRange algorithmName="SHA-512" hashValue="5xiR2kVrrAE0O/c8Zs9Cmphc1StZl/Y4xLkeCUmrRvFBzIVhON/QA7MwxvLaBPstNDeDlAp5AbW5l63uypKZZg==" saltValue="h6NAVNz0eN6CPL3quz4bLw==" spinCount="100000" sqref="N2:O6 P2:P7" name="Range1"/>
  </protectedRanges>
  <phoneticPr fontId="9"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866C-98FB-4FEF-BC21-63A08E86231A}">
  <dimension ref="A1"/>
  <sheetViews>
    <sheetView workbookViewId="0">
      <selection activeCell="N11" sqref="N11"/>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8AD2-4971-4EC0-8FFE-327DB8165D9D}">
  <dimension ref="A1:N60"/>
  <sheetViews>
    <sheetView workbookViewId="0">
      <selection activeCell="E5" sqref="E5"/>
    </sheetView>
  </sheetViews>
  <sheetFormatPr defaultRowHeight="15" x14ac:dyDescent="0.25"/>
  <cols>
    <col min="1" max="1" width="9.42578125" bestFit="1" customWidth="1"/>
    <col min="2" max="2" width="12.140625" customWidth="1"/>
    <col min="3" max="3" width="11" customWidth="1"/>
    <col min="4" max="4" width="11.28515625" customWidth="1"/>
    <col min="5" max="5" width="15.42578125" customWidth="1"/>
    <col min="6" max="6" width="25.42578125" customWidth="1"/>
    <col min="7" max="8" width="12.5703125" customWidth="1"/>
    <col min="9" max="9" width="11.42578125" bestFit="1" customWidth="1"/>
    <col min="10" max="10" width="11.140625" bestFit="1" customWidth="1"/>
  </cols>
  <sheetData>
    <row r="1" spans="1:14" x14ac:dyDescent="0.25">
      <c r="A1" s="35" t="s">
        <v>101</v>
      </c>
      <c r="B1" t="s">
        <v>122</v>
      </c>
      <c r="C1" t="s">
        <v>123</v>
      </c>
      <c r="D1" t="s">
        <v>124</v>
      </c>
      <c r="E1" t="s">
        <v>177</v>
      </c>
      <c r="F1" t="s">
        <v>178</v>
      </c>
      <c r="H1" s="39" t="s">
        <v>102</v>
      </c>
    </row>
    <row r="2" spans="1:14" x14ac:dyDescent="0.25">
      <c r="A2" s="41" t="s">
        <v>75</v>
      </c>
      <c r="B2" s="42" t="s">
        <v>0</v>
      </c>
      <c r="C2" s="42" t="s">
        <v>95</v>
      </c>
      <c r="D2" s="42" t="s">
        <v>96</v>
      </c>
      <c r="E2" s="42" t="s">
        <v>97</v>
      </c>
      <c r="F2" s="43" t="s">
        <v>98</v>
      </c>
      <c r="H2" t="s">
        <v>122</v>
      </c>
      <c r="I2" t="s">
        <v>123</v>
      </c>
      <c r="J2" t="s">
        <v>124</v>
      </c>
    </row>
    <row r="3" spans="1:14" x14ac:dyDescent="0.25">
      <c r="A3" s="44" t="s">
        <v>76</v>
      </c>
      <c r="B3" s="45">
        <v>44044</v>
      </c>
      <c r="C3" s="49">
        <v>0.33333333333333331</v>
      </c>
      <c r="D3" s="49">
        <v>0.45833333333333331</v>
      </c>
      <c r="E3" s="68">
        <f>'Q4'!$D3-'Q4'!$C3</f>
        <v>0.125</v>
      </c>
      <c r="F3" s="67">
        <f>E3*24*15</f>
        <v>45</v>
      </c>
      <c r="H3" t="s">
        <v>75</v>
      </c>
      <c r="I3" t="s">
        <v>100</v>
      </c>
      <c r="J3" t="s">
        <v>99</v>
      </c>
    </row>
    <row r="4" spans="1:14" x14ac:dyDescent="0.25">
      <c r="A4" s="46" t="s">
        <v>77</v>
      </c>
      <c r="B4" s="47">
        <v>44044</v>
      </c>
      <c r="C4" s="48">
        <v>0.5</v>
      </c>
      <c r="D4" s="48">
        <v>0.54166666666666663</v>
      </c>
      <c r="E4" s="69">
        <f>'Q4'!$D4-'Q4'!$C4</f>
        <v>4.166666666666663E-2</v>
      </c>
      <c r="F4" s="67">
        <f t="shared" ref="F4:F59" si="0">E4*24*15</f>
        <v>14.999999999999986</v>
      </c>
      <c r="H4" t="s">
        <v>76</v>
      </c>
      <c r="I4" s="48">
        <f>SUMIF(A$3:A$59,H4,E$3:E$59)</f>
        <v>0.45833333333333331</v>
      </c>
      <c r="J4" s="66">
        <f>SUMIF(A$3:A$59,H4,F$3:F459)</f>
        <v>165</v>
      </c>
    </row>
    <row r="5" spans="1:14" x14ac:dyDescent="0.25">
      <c r="A5" s="44" t="s">
        <v>78</v>
      </c>
      <c r="B5" s="45">
        <v>44044</v>
      </c>
      <c r="C5" s="49">
        <v>0.45833333333333331</v>
      </c>
      <c r="D5" s="49">
        <v>0.66666666666666663</v>
      </c>
      <c r="E5" s="68">
        <f>'Q4'!$D5-'Q4'!$C5</f>
        <v>0.20833333333333331</v>
      </c>
      <c r="F5" s="67">
        <f t="shared" si="0"/>
        <v>75</v>
      </c>
      <c r="H5" t="s">
        <v>77</v>
      </c>
      <c r="I5" s="48">
        <f t="shared" ref="I5:I22" si="1">SUMIF(A$3:A$59,H5,E$3:E$59)</f>
        <v>0.41666666666666657</v>
      </c>
      <c r="J5" s="66">
        <f>SUMIF(A$3:A$59,H5,F$3:F460)</f>
        <v>149.99999999999997</v>
      </c>
    </row>
    <row r="6" spans="1:14" x14ac:dyDescent="0.25">
      <c r="A6" s="46" t="s">
        <v>79</v>
      </c>
      <c r="B6" s="47">
        <v>44044</v>
      </c>
      <c r="C6" s="48">
        <v>0.41666666666666669</v>
      </c>
      <c r="D6" s="48">
        <v>0.75</v>
      </c>
      <c r="E6" s="69">
        <f>'Q4'!$D6-'Q4'!$C6</f>
        <v>0.33333333333333331</v>
      </c>
      <c r="F6" s="67">
        <f t="shared" si="0"/>
        <v>120</v>
      </c>
      <c r="H6" t="s">
        <v>78</v>
      </c>
      <c r="I6" s="48">
        <f t="shared" si="1"/>
        <v>0.66666666666666663</v>
      </c>
      <c r="J6" s="66">
        <f>SUMIF(A$3:A$59,H6,F$3:F461)</f>
        <v>240</v>
      </c>
    </row>
    <row r="7" spans="1:14" x14ac:dyDescent="0.25">
      <c r="A7" s="44" t="s">
        <v>80</v>
      </c>
      <c r="B7" s="45">
        <v>44044</v>
      </c>
      <c r="C7" s="49">
        <v>0.25</v>
      </c>
      <c r="D7" s="49">
        <v>0.5</v>
      </c>
      <c r="E7" s="68">
        <f>'Q4'!$D7-'Q4'!$C7</f>
        <v>0.25</v>
      </c>
      <c r="F7" s="67">
        <f t="shared" si="0"/>
        <v>90</v>
      </c>
      <c r="H7" t="s">
        <v>79</v>
      </c>
      <c r="I7" s="48">
        <f t="shared" si="1"/>
        <v>0.95833333333333326</v>
      </c>
      <c r="J7" s="66">
        <f>SUMIF(A$3:A$59,H7,F$3:F462)</f>
        <v>345</v>
      </c>
    </row>
    <row r="8" spans="1:14" x14ac:dyDescent="0.25">
      <c r="A8" s="46" t="s">
        <v>81</v>
      </c>
      <c r="B8" s="47">
        <v>44044</v>
      </c>
      <c r="C8" s="48">
        <v>0.29166666666666669</v>
      </c>
      <c r="D8" s="48">
        <v>0.58333333333333337</v>
      </c>
      <c r="E8" s="69">
        <f>'Q4'!$D8-'Q4'!$C8</f>
        <v>0.29166666666666669</v>
      </c>
      <c r="F8" s="67">
        <f t="shared" si="0"/>
        <v>105</v>
      </c>
      <c r="H8" t="s">
        <v>80</v>
      </c>
      <c r="I8" s="48">
        <f t="shared" si="1"/>
        <v>0.875</v>
      </c>
      <c r="J8" s="66">
        <f>SUMIF(A$3:A$59,H8,F$3:F463)</f>
        <v>315</v>
      </c>
    </row>
    <row r="9" spans="1:14" x14ac:dyDescent="0.25">
      <c r="A9" s="44" t="s">
        <v>82</v>
      </c>
      <c r="B9" s="45">
        <v>44044</v>
      </c>
      <c r="C9" s="49">
        <v>0.375</v>
      </c>
      <c r="D9" s="49">
        <v>0.75</v>
      </c>
      <c r="E9" s="68">
        <f>'Q4'!$D9-'Q4'!$C9</f>
        <v>0.375</v>
      </c>
      <c r="F9" s="67">
        <f t="shared" si="0"/>
        <v>135</v>
      </c>
      <c r="H9" t="s">
        <v>81</v>
      </c>
      <c r="I9" s="48">
        <f t="shared" si="1"/>
        <v>0.79166666666666674</v>
      </c>
      <c r="J9" s="66">
        <f>SUMIF(A$3:A$59,H9,F$3:F464)</f>
        <v>285</v>
      </c>
    </row>
    <row r="10" spans="1:14" x14ac:dyDescent="0.25">
      <c r="A10" s="46" t="s">
        <v>83</v>
      </c>
      <c r="B10" s="47">
        <v>44044</v>
      </c>
      <c r="C10" s="48">
        <v>0.41666666666666669</v>
      </c>
      <c r="D10" s="48">
        <v>0.625</v>
      </c>
      <c r="E10" s="69">
        <f>'Q4'!$D10-'Q4'!$C10</f>
        <v>0.20833333333333331</v>
      </c>
      <c r="F10" s="67">
        <f t="shared" si="0"/>
        <v>75</v>
      </c>
      <c r="H10" t="s">
        <v>82</v>
      </c>
      <c r="I10" s="48">
        <f t="shared" si="1"/>
        <v>1.25</v>
      </c>
      <c r="J10" s="66">
        <f>SUMIF(A$3:A$59,H10,F$3:F465)</f>
        <v>450</v>
      </c>
    </row>
    <row r="11" spans="1:14" x14ac:dyDescent="0.25">
      <c r="A11" s="44" t="s">
        <v>84</v>
      </c>
      <c r="B11" s="45">
        <v>44044</v>
      </c>
      <c r="C11" s="49">
        <v>0.25</v>
      </c>
      <c r="D11" s="49">
        <v>0.75</v>
      </c>
      <c r="E11" s="68">
        <f>'Q4'!$D11-'Q4'!$C11</f>
        <v>0.5</v>
      </c>
      <c r="F11" s="67">
        <f t="shared" si="0"/>
        <v>180</v>
      </c>
      <c r="G11" s="1"/>
      <c r="H11" t="s">
        <v>83</v>
      </c>
      <c r="I11" s="48">
        <f t="shared" si="1"/>
        <v>0.70833333333333326</v>
      </c>
      <c r="J11" s="66">
        <f>SUMIF(A$3:A$59,H11,F$3:F466)</f>
        <v>255</v>
      </c>
    </row>
    <row r="12" spans="1:14" x14ac:dyDescent="0.25">
      <c r="A12" s="46" t="s">
        <v>85</v>
      </c>
      <c r="B12" s="47">
        <v>44044</v>
      </c>
      <c r="C12" s="48">
        <v>0.29166666666666669</v>
      </c>
      <c r="D12" s="48">
        <v>0.58333333333333337</v>
      </c>
      <c r="E12" s="69">
        <f>'Q4'!$D12-'Q4'!$C12</f>
        <v>0.29166666666666669</v>
      </c>
      <c r="F12" s="67">
        <f t="shared" si="0"/>
        <v>105</v>
      </c>
      <c r="H12" t="s">
        <v>84</v>
      </c>
      <c r="I12" s="48">
        <f t="shared" si="1"/>
        <v>1.125</v>
      </c>
      <c r="J12" s="66">
        <f>SUMIF(A$3:A$59,H12,F$3:F467)</f>
        <v>405</v>
      </c>
    </row>
    <row r="13" spans="1:14" x14ac:dyDescent="0.25">
      <c r="A13" s="44" t="s">
        <v>86</v>
      </c>
      <c r="B13" s="45">
        <v>44044</v>
      </c>
      <c r="C13" s="49">
        <v>0.375</v>
      </c>
      <c r="D13" s="49">
        <v>0.5</v>
      </c>
      <c r="E13" s="68">
        <f>'Q4'!$D13-'Q4'!$C13</f>
        <v>0.125</v>
      </c>
      <c r="F13" s="67">
        <f t="shared" si="0"/>
        <v>45</v>
      </c>
      <c r="H13" t="s">
        <v>85</v>
      </c>
      <c r="I13" s="48">
        <f t="shared" si="1"/>
        <v>0.83333333333333337</v>
      </c>
      <c r="J13" s="66">
        <f>SUMIF(A$3:A$59,H13,F$3:F468)</f>
        <v>300</v>
      </c>
      <c r="M13" s="31" t="s">
        <v>106</v>
      </c>
      <c r="N13" s="32"/>
    </row>
    <row r="14" spans="1:14" x14ac:dyDescent="0.25">
      <c r="A14" s="46" t="s">
        <v>87</v>
      </c>
      <c r="B14" s="47">
        <v>44044</v>
      </c>
      <c r="C14" s="48">
        <v>0.25</v>
      </c>
      <c r="D14" s="48">
        <v>0.5</v>
      </c>
      <c r="E14" s="69">
        <f>'Q4'!$D14-'Q4'!$C14</f>
        <v>0.25</v>
      </c>
      <c r="F14" s="67">
        <f t="shared" si="0"/>
        <v>90</v>
      </c>
      <c r="H14" t="s">
        <v>86</v>
      </c>
      <c r="I14" s="48">
        <f t="shared" si="1"/>
        <v>0.58333333333333326</v>
      </c>
      <c r="J14" s="66">
        <f>SUMIF(A$3:A$59,H14,F$3:F469)</f>
        <v>210</v>
      </c>
      <c r="L14" s="32" t="s">
        <v>107</v>
      </c>
      <c r="M14">
        <v>1</v>
      </c>
      <c r="N14" s="33"/>
    </row>
    <row r="15" spans="1:14" x14ac:dyDescent="0.25">
      <c r="A15" s="44" t="s">
        <v>88</v>
      </c>
      <c r="B15" s="45">
        <v>44044</v>
      </c>
      <c r="C15" s="49">
        <v>0.29166666666666669</v>
      </c>
      <c r="D15" s="49">
        <v>0.625</v>
      </c>
      <c r="E15" s="68">
        <f>'Q4'!$D15-'Q4'!$C15</f>
        <v>0.33333333333333331</v>
      </c>
      <c r="F15" s="67">
        <f t="shared" si="0"/>
        <v>120</v>
      </c>
      <c r="H15" t="s">
        <v>87</v>
      </c>
      <c r="I15" s="48">
        <f t="shared" si="1"/>
        <v>0.875</v>
      </c>
      <c r="J15" s="66">
        <f>SUMIF(A$3:A$59,H15,F$3:F470)</f>
        <v>315</v>
      </c>
      <c r="L15" s="32" t="s">
        <v>108</v>
      </c>
      <c r="M15">
        <v>2</v>
      </c>
      <c r="N15" s="33"/>
    </row>
    <row r="16" spans="1:14" x14ac:dyDescent="0.25">
      <c r="A16" s="46" t="s">
        <v>89</v>
      </c>
      <c r="B16" s="47">
        <v>44044</v>
      </c>
      <c r="C16" s="48">
        <v>0.375</v>
      </c>
      <c r="D16" s="48">
        <v>0.75</v>
      </c>
      <c r="E16" s="69">
        <f>'Q4'!$D16-'Q4'!$C16</f>
        <v>0.375</v>
      </c>
      <c r="F16" s="67">
        <f t="shared" si="0"/>
        <v>135</v>
      </c>
      <c r="H16" t="s">
        <v>88</v>
      </c>
      <c r="I16" s="48">
        <f t="shared" si="1"/>
        <v>0.91666666666666663</v>
      </c>
      <c r="J16" s="66">
        <f>SUMIF(A$3:A$59,H16,F$3:F471)</f>
        <v>330</v>
      </c>
      <c r="L16" s="32" t="s">
        <v>109</v>
      </c>
      <c r="M16">
        <v>2</v>
      </c>
      <c r="N16" s="33"/>
    </row>
    <row r="17" spans="1:14" x14ac:dyDescent="0.25">
      <c r="A17" s="44" t="s">
        <v>90</v>
      </c>
      <c r="B17" s="45">
        <v>44044</v>
      </c>
      <c r="C17" s="49">
        <v>0.25</v>
      </c>
      <c r="D17" s="49">
        <v>0.5</v>
      </c>
      <c r="E17" s="68">
        <f>'Q4'!$D17-'Q4'!$C17</f>
        <v>0.25</v>
      </c>
      <c r="F17" s="67">
        <f t="shared" si="0"/>
        <v>90</v>
      </c>
      <c r="H17" t="s">
        <v>89</v>
      </c>
      <c r="I17" s="48">
        <f t="shared" si="1"/>
        <v>1.0833333333333333</v>
      </c>
      <c r="J17" s="66">
        <f>SUMIF(A$3:A$59,H17,F$3:F472)</f>
        <v>390</v>
      </c>
      <c r="L17" s="32" t="s">
        <v>112</v>
      </c>
      <c r="M17">
        <f>SUM(M14:M16)</f>
        <v>5</v>
      </c>
      <c r="N17">
        <f>SUM(N14:N16)</f>
        <v>0</v>
      </c>
    </row>
    <row r="18" spans="1:14" x14ac:dyDescent="0.25">
      <c r="A18" s="46" t="s">
        <v>91</v>
      </c>
      <c r="B18" s="47">
        <v>44044</v>
      </c>
      <c r="C18" s="48">
        <v>0.29166666666666669</v>
      </c>
      <c r="D18" s="48">
        <v>0.625</v>
      </c>
      <c r="E18" s="69">
        <f>'Q4'!$D18-'Q4'!$C18</f>
        <v>0.33333333333333331</v>
      </c>
      <c r="F18" s="67">
        <f t="shared" si="0"/>
        <v>120</v>
      </c>
      <c r="H18" t="s">
        <v>90</v>
      </c>
      <c r="I18" s="48">
        <f t="shared" si="1"/>
        <v>0.70833333333333337</v>
      </c>
      <c r="J18" s="66">
        <f>SUMIF(A$3:A$59,H18,F$3:F473)</f>
        <v>255</v>
      </c>
      <c r="L18" s="32"/>
      <c r="M18" s="9"/>
    </row>
    <row r="19" spans="1:14" x14ac:dyDescent="0.25">
      <c r="A19" s="44" t="s">
        <v>92</v>
      </c>
      <c r="B19" s="45">
        <v>44044</v>
      </c>
      <c r="C19" s="49">
        <v>0.375</v>
      </c>
      <c r="D19" s="49">
        <v>0.58333333333333337</v>
      </c>
      <c r="E19" s="68">
        <f>'Q4'!$D19-'Q4'!$C19</f>
        <v>0.20833333333333337</v>
      </c>
      <c r="F19" s="67">
        <f t="shared" si="0"/>
        <v>75.000000000000014</v>
      </c>
      <c r="H19" t="s">
        <v>91</v>
      </c>
      <c r="I19" s="48">
        <f t="shared" si="1"/>
        <v>1.0833333333333333</v>
      </c>
      <c r="J19" s="66">
        <f>SUMIF(A$3:A$59,H19,F$3:F474)</f>
        <v>390</v>
      </c>
    </row>
    <row r="20" spans="1:14" x14ac:dyDescent="0.25">
      <c r="A20" s="46" t="s">
        <v>93</v>
      </c>
      <c r="B20" s="47">
        <v>44044</v>
      </c>
      <c r="C20" s="48">
        <v>0.25</v>
      </c>
      <c r="D20" s="48">
        <v>0.66666666666666663</v>
      </c>
      <c r="E20" s="69">
        <f>'Q4'!$D20-'Q4'!$C20</f>
        <v>0.41666666666666663</v>
      </c>
      <c r="F20" s="67">
        <f t="shared" si="0"/>
        <v>150</v>
      </c>
      <c r="H20" t="s">
        <v>92</v>
      </c>
      <c r="I20" s="48">
        <f t="shared" si="1"/>
        <v>0.625</v>
      </c>
      <c r="J20" s="66">
        <f>SUMIF(A$3:A$59,H20,F$3:F475)</f>
        <v>225.00000000000003</v>
      </c>
    </row>
    <row r="21" spans="1:14" x14ac:dyDescent="0.25">
      <c r="A21" s="44" t="s">
        <v>94</v>
      </c>
      <c r="B21" s="45">
        <v>44044</v>
      </c>
      <c r="C21" s="49">
        <v>0.29166666666666669</v>
      </c>
      <c r="D21" s="49">
        <v>0.5</v>
      </c>
      <c r="E21" s="68">
        <f>'Q4'!$D21-'Q4'!$C21</f>
        <v>0.20833333333333331</v>
      </c>
      <c r="F21" s="67">
        <f t="shared" si="0"/>
        <v>75</v>
      </c>
      <c r="H21" t="s">
        <v>93</v>
      </c>
      <c r="I21" s="48">
        <f t="shared" si="1"/>
        <v>1.0416666666666665</v>
      </c>
      <c r="J21" s="66">
        <f>SUMIF(A$3:A$59,H21,F$3:F476)</f>
        <v>375</v>
      </c>
    </row>
    <row r="22" spans="1:14" x14ac:dyDescent="0.25">
      <c r="A22" s="46" t="s">
        <v>76</v>
      </c>
      <c r="B22" s="47">
        <v>44044</v>
      </c>
      <c r="C22" s="48">
        <v>0.33333333333333331</v>
      </c>
      <c r="D22" s="48">
        <v>0.45833333333333331</v>
      </c>
      <c r="E22" s="69">
        <f>'Q4'!$D22-'Q4'!$C22</f>
        <v>0.125</v>
      </c>
      <c r="F22" s="67">
        <f t="shared" si="0"/>
        <v>45</v>
      </c>
      <c r="G22" s="1"/>
      <c r="H22" t="s">
        <v>94</v>
      </c>
      <c r="I22" s="48">
        <f t="shared" si="1"/>
        <v>0.83333333333333326</v>
      </c>
      <c r="J22" s="66">
        <f>SUMIF(A$3:A$59,H22,F$3:F477)</f>
        <v>300</v>
      </c>
    </row>
    <row r="23" spans="1:14" x14ac:dyDescent="0.25">
      <c r="A23" s="44" t="s">
        <v>77</v>
      </c>
      <c r="B23" s="45">
        <v>44044</v>
      </c>
      <c r="C23" s="49">
        <v>0.5</v>
      </c>
      <c r="D23" s="49">
        <v>0.54166666666666663</v>
      </c>
      <c r="E23" s="68">
        <f>'Q4'!$D23-'Q4'!$C23</f>
        <v>4.166666666666663E-2</v>
      </c>
      <c r="F23" s="67">
        <f t="shared" si="0"/>
        <v>14.999999999999986</v>
      </c>
    </row>
    <row r="24" spans="1:14" x14ac:dyDescent="0.25">
      <c r="A24" s="46" t="s">
        <v>78</v>
      </c>
      <c r="B24" s="47">
        <v>44044</v>
      </c>
      <c r="C24" s="48">
        <v>0.45833333333333331</v>
      </c>
      <c r="D24" s="48">
        <v>0.66666666666666663</v>
      </c>
      <c r="E24" s="69">
        <f>'Q4'!$D24-'Q4'!$C24</f>
        <v>0.20833333333333331</v>
      </c>
      <c r="F24" s="67">
        <f t="shared" si="0"/>
        <v>75</v>
      </c>
    </row>
    <row r="25" spans="1:14" x14ac:dyDescent="0.25">
      <c r="A25" s="44" t="s">
        <v>79</v>
      </c>
      <c r="B25" s="45">
        <v>44044</v>
      </c>
      <c r="C25" s="49">
        <v>0.41666666666666669</v>
      </c>
      <c r="D25" s="49">
        <v>0.75</v>
      </c>
      <c r="E25" s="68">
        <f>'Q4'!$D25-'Q4'!$C25</f>
        <v>0.33333333333333331</v>
      </c>
      <c r="F25" s="67">
        <f t="shared" si="0"/>
        <v>120</v>
      </c>
    </row>
    <row r="26" spans="1:14" x14ac:dyDescent="0.25">
      <c r="A26" s="46" t="s">
        <v>80</v>
      </c>
      <c r="B26" s="47">
        <v>44044</v>
      </c>
      <c r="C26" s="48">
        <v>0.25</v>
      </c>
      <c r="D26" s="48">
        <v>0.5</v>
      </c>
      <c r="E26" s="69">
        <f>'Q4'!$D26-'Q4'!$C26</f>
        <v>0.25</v>
      </c>
      <c r="F26" s="67">
        <f t="shared" si="0"/>
        <v>90</v>
      </c>
    </row>
    <row r="27" spans="1:14" x14ac:dyDescent="0.25">
      <c r="A27" s="44" t="s">
        <v>81</v>
      </c>
      <c r="B27" s="45">
        <v>44044</v>
      </c>
      <c r="C27" s="49">
        <v>0.29166666666666669</v>
      </c>
      <c r="D27" s="49">
        <v>0.58333333333333337</v>
      </c>
      <c r="E27" s="68">
        <f>'Q4'!$D27-'Q4'!$C27</f>
        <v>0.29166666666666669</v>
      </c>
      <c r="F27" s="67">
        <f t="shared" si="0"/>
        <v>105</v>
      </c>
    </row>
    <row r="28" spans="1:14" x14ac:dyDescent="0.25">
      <c r="A28" s="46" t="s">
        <v>82</v>
      </c>
      <c r="B28" s="47">
        <v>44044</v>
      </c>
      <c r="C28" s="48">
        <v>0.375</v>
      </c>
      <c r="D28" s="48">
        <v>0.75</v>
      </c>
      <c r="E28" s="69">
        <f>'Q4'!$D28-'Q4'!$C28</f>
        <v>0.375</v>
      </c>
      <c r="F28" s="67">
        <f t="shared" si="0"/>
        <v>135</v>
      </c>
    </row>
    <row r="29" spans="1:14" x14ac:dyDescent="0.25">
      <c r="A29" s="44" t="s">
        <v>83</v>
      </c>
      <c r="B29" s="45">
        <v>44044</v>
      </c>
      <c r="C29" s="49">
        <v>0.41666666666666669</v>
      </c>
      <c r="D29" s="49">
        <v>0.625</v>
      </c>
      <c r="E29" s="68">
        <f>'Q4'!$D29-'Q4'!$C29</f>
        <v>0.20833333333333331</v>
      </c>
      <c r="F29" s="67">
        <f t="shared" si="0"/>
        <v>75</v>
      </c>
    </row>
    <row r="30" spans="1:14" x14ac:dyDescent="0.25">
      <c r="A30" s="46" t="s">
        <v>84</v>
      </c>
      <c r="B30" s="47">
        <v>44044</v>
      </c>
      <c r="C30" s="48">
        <v>0.25</v>
      </c>
      <c r="D30" s="48">
        <v>0.75</v>
      </c>
      <c r="E30" s="69">
        <f>'Q4'!$D30-'Q4'!$C30</f>
        <v>0.5</v>
      </c>
      <c r="F30" s="67">
        <f t="shared" si="0"/>
        <v>180</v>
      </c>
    </row>
    <row r="31" spans="1:14" x14ac:dyDescent="0.25">
      <c r="A31" s="44" t="s">
        <v>85</v>
      </c>
      <c r="B31" s="45">
        <v>44044</v>
      </c>
      <c r="C31" s="49">
        <v>0.29166666666666669</v>
      </c>
      <c r="D31" s="49">
        <v>0.58333333333333337</v>
      </c>
      <c r="E31" s="68">
        <f>'Q4'!$D31-'Q4'!$C31</f>
        <v>0.29166666666666669</v>
      </c>
      <c r="F31" s="67">
        <f t="shared" si="0"/>
        <v>105</v>
      </c>
    </row>
    <row r="32" spans="1:14" x14ac:dyDescent="0.25">
      <c r="A32" s="46" t="s">
        <v>86</v>
      </c>
      <c r="B32" s="47">
        <v>44044</v>
      </c>
      <c r="C32" s="48">
        <v>0.375</v>
      </c>
      <c r="D32" s="48">
        <v>0.5</v>
      </c>
      <c r="E32" s="69">
        <f>'Q4'!$D32-'Q4'!$C32</f>
        <v>0.125</v>
      </c>
      <c r="F32" s="67">
        <f t="shared" si="0"/>
        <v>45</v>
      </c>
    </row>
    <row r="33" spans="1:6" x14ac:dyDescent="0.25">
      <c r="A33" s="44" t="s">
        <v>87</v>
      </c>
      <c r="B33" s="45">
        <v>44044</v>
      </c>
      <c r="C33" s="49">
        <v>0.25</v>
      </c>
      <c r="D33" s="49">
        <v>0.5</v>
      </c>
      <c r="E33" s="68">
        <f>'Q4'!$D33-'Q4'!$C33</f>
        <v>0.25</v>
      </c>
      <c r="F33" s="67">
        <f t="shared" si="0"/>
        <v>90</v>
      </c>
    </row>
    <row r="34" spans="1:6" x14ac:dyDescent="0.25">
      <c r="A34" s="46" t="s">
        <v>88</v>
      </c>
      <c r="B34" s="47">
        <v>44044</v>
      </c>
      <c r="C34" s="48">
        <v>0.29166666666666669</v>
      </c>
      <c r="D34" s="48">
        <v>0.625</v>
      </c>
      <c r="E34" s="69">
        <f>'Q4'!$D34-'Q4'!$C34</f>
        <v>0.33333333333333331</v>
      </c>
      <c r="F34" s="67">
        <f t="shared" si="0"/>
        <v>120</v>
      </c>
    </row>
    <row r="35" spans="1:6" x14ac:dyDescent="0.25">
      <c r="A35" s="44" t="s">
        <v>89</v>
      </c>
      <c r="B35" s="45">
        <v>44044</v>
      </c>
      <c r="C35" s="49">
        <v>0.375</v>
      </c>
      <c r="D35" s="49">
        <v>0.75</v>
      </c>
      <c r="E35" s="68">
        <f>'Q4'!$D35-'Q4'!$C35</f>
        <v>0.375</v>
      </c>
      <c r="F35" s="67">
        <f t="shared" si="0"/>
        <v>135</v>
      </c>
    </row>
    <row r="36" spans="1:6" x14ac:dyDescent="0.25">
      <c r="A36" s="46" t="s">
        <v>90</v>
      </c>
      <c r="B36" s="47">
        <v>44044</v>
      </c>
      <c r="C36" s="48">
        <v>0.25</v>
      </c>
      <c r="D36" s="48">
        <v>0.5</v>
      </c>
      <c r="E36" s="69">
        <f>'Q4'!$D36-'Q4'!$C36</f>
        <v>0.25</v>
      </c>
      <c r="F36" s="67">
        <f t="shared" si="0"/>
        <v>90</v>
      </c>
    </row>
    <row r="37" spans="1:6" x14ac:dyDescent="0.25">
      <c r="A37" s="44" t="s">
        <v>91</v>
      </c>
      <c r="B37" s="45">
        <v>44044</v>
      </c>
      <c r="C37" s="49">
        <v>0.29166666666666669</v>
      </c>
      <c r="D37" s="49">
        <v>0.625</v>
      </c>
      <c r="E37" s="68">
        <f>'Q4'!$D37-'Q4'!$C37</f>
        <v>0.33333333333333331</v>
      </c>
      <c r="F37" s="67">
        <f t="shared" si="0"/>
        <v>120</v>
      </c>
    </row>
    <row r="38" spans="1:6" x14ac:dyDescent="0.25">
      <c r="A38" s="46" t="s">
        <v>92</v>
      </c>
      <c r="B38" s="47">
        <v>44044</v>
      </c>
      <c r="C38" s="48">
        <v>0.375</v>
      </c>
      <c r="D38" s="48">
        <v>0.58333333333333337</v>
      </c>
      <c r="E38" s="69">
        <f>'Q4'!$D38-'Q4'!$C38</f>
        <v>0.20833333333333337</v>
      </c>
      <c r="F38" s="67">
        <f t="shared" si="0"/>
        <v>75.000000000000014</v>
      </c>
    </row>
    <row r="39" spans="1:6" x14ac:dyDescent="0.25">
      <c r="A39" s="44" t="s">
        <v>93</v>
      </c>
      <c r="B39" s="45">
        <v>44044</v>
      </c>
      <c r="C39" s="49">
        <v>0.25</v>
      </c>
      <c r="D39" s="49">
        <v>0.66666666666666663</v>
      </c>
      <c r="E39" s="68">
        <f>'Q4'!$D39-'Q4'!$C39</f>
        <v>0.41666666666666663</v>
      </c>
      <c r="F39" s="67">
        <f t="shared" si="0"/>
        <v>150</v>
      </c>
    </row>
    <row r="40" spans="1:6" x14ac:dyDescent="0.25">
      <c r="A40" s="46" t="s">
        <v>94</v>
      </c>
      <c r="B40" s="47">
        <v>44044</v>
      </c>
      <c r="C40" s="48">
        <v>0.29166666666666669</v>
      </c>
      <c r="D40" s="48">
        <v>0.5</v>
      </c>
      <c r="E40" s="69">
        <f>'Q4'!$D40-'Q4'!$C40</f>
        <v>0.20833333333333331</v>
      </c>
      <c r="F40" s="67">
        <f t="shared" si="0"/>
        <v>75</v>
      </c>
    </row>
    <row r="41" spans="1:6" x14ac:dyDescent="0.25">
      <c r="A41" s="44" t="s">
        <v>76</v>
      </c>
      <c r="B41" s="45">
        <v>44045</v>
      </c>
      <c r="C41" s="49">
        <v>0.45833333333333331</v>
      </c>
      <c r="D41" s="49">
        <v>0.66666666666666663</v>
      </c>
      <c r="E41" s="68">
        <f>'Q4'!$D41-'Q4'!$C41</f>
        <v>0.20833333333333331</v>
      </c>
      <c r="F41" s="67">
        <f t="shared" si="0"/>
        <v>75</v>
      </c>
    </row>
    <row r="42" spans="1:6" x14ac:dyDescent="0.25">
      <c r="A42" s="46" t="s">
        <v>77</v>
      </c>
      <c r="B42" s="47">
        <v>44045</v>
      </c>
      <c r="C42" s="48">
        <v>0.41666666666666669</v>
      </c>
      <c r="D42" s="48">
        <v>0.75</v>
      </c>
      <c r="E42" s="69">
        <f>'Q4'!$D42-'Q4'!$C42</f>
        <v>0.33333333333333331</v>
      </c>
      <c r="F42" s="67">
        <f t="shared" si="0"/>
        <v>120</v>
      </c>
    </row>
    <row r="43" spans="1:6" x14ac:dyDescent="0.25">
      <c r="A43" s="44" t="s">
        <v>78</v>
      </c>
      <c r="B43" s="45">
        <v>44045</v>
      </c>
      <c r="C43" s="49">
        <v>0.25</v>
      </c>
      <c r="D43" s="49">
        <v>0.5</v>
      </c>
      <c r="E43" s="68">
        <f>'Q4'!$D43-'Q4'!$C43</f>
        <v>0.25</v>
      </c>
      <c r="F43" s="67">
        <f t="shared" si="0"/>
        <v>90</v>
      </c>
    </row>
    <row r="44" spans="1:6" x14ac:dyDescent="0.25">
      <c r="A44" s="46" t="s">
        <v>79</v>
      </c>
      <c r="B44" s="47">
        <v>44045</v>
      </c>
      <c r="C44" s="48">
        <v>0.29166666666666669</v>
      </c>
      <c r="D44" s="48">
        <v>0.58333333333333337</v>
      </c>
      <c r="E44" s="69">
        <f>'Q4'!$D44-'Q4'!$C44</f>
        <v>0.29166666666666669</v>
      </c>
      <c r="F44" s="67">
        <f t="shared" si="0"/>
        <v>105</v>
      </c>
    </row>
    <row r="45" spans="1:6" x14ac:dyDescent="0.25">
      <c r="A45" s="44" t="s">
        <v>80</v>
      </c>
      <c r="B45" s="45">
        <v>44045</v>
      </c>
      <c r="C45" s="49">
        <v>0.375</v>
      </c>
      <c r="D45" s="49">
        <v>0.75</v>
      </c>
      <c r="E45" s="68">
        <f>'Q4'!$D45-'Q4'!$C45</f>
        <v>0.375</v>
      </c>
      <c r="F45" s="67">
        <f t="shared" si="0"/>
        <v>135</v>
      </c>
    </row>
    <row r="46" spans="1:6" x14ac:dyDescent="0.25">
      <c r="A46" s="46" t="s">
        <v>81</v>
      </c>
      <c r="B46" s="47">
        <v>44045</v>
      </c>
      <c r="C46" s="48">
        <v>0.41666666666666669</v>
      </c>
      <c r="D46" s="48">
        <v>0.625</v>
      </c>
      <c r="E46" s="69">
        <f>'Q4'!$D46-'Q4'!$C46</f>
        <v>0.20833333333333331</v>
      </c>
      <c r="F46" s="67">
        <f t="shared" si="0"/>
        <v>75</v>
      </c>
    </row>
    <row r="47" spans="1:6" x14ac:dyDescent="0.25">
      <c r="A47" s="44" t="s">
        <v>82</v>
      </c>
      <c r="B47" s="45">
        <v>44045</v>
      </c>
      <c r="C47" s="49">
        <v>0.25</v>
      </c>
      <c r="D47" s="49">
        <v>0.75</v>
      </c>
      <c r="E47" s="68">
        <f>'Q4'!$D47-'Q4'!$C47</f>
        <v>0.5</v>
      </c>
      <c r="F47" s="67">
        <f t="shared" si="0"/>
        <v>180</v>
      </c>
    </row>
    <row r="48" spans="1:6" x14ac:dyDescent="0.25">
      <c r="A48" s="46" t="s">
        <v>83</v>
      </c>
      <c r="B48" s="47">
        <v>44045</v>
      </c>
      <c r="C48" s="48">
        <v>0.29166666666666669</v>
      </c>
      <c r="D48" s="48">
        <v>0.58333333333333337</v>
      </c>
      <c r="E48" s="69">
        <f>'Q4'!$D48-'Q4'!$C48</f>
        <v>0.29166666666666669</v>
      </c>
      <c r="F48" s="67">
        <f t="shared" si="0"/>
        <v>105</v>
      </c>
    </row>
    <row r="49" spans="1:6" x14ac:dyDescent="0.25">
      <c r="A49" s="44" t="s">
        <v>84</v>
      </c>
      <c r="B49" s="45">
        <v>44045</v>
      </c>
      <c r="C49" s="49">
        <v>0.375</v>
      </c>
      <c r="D49" s="49">
        <v>0.5</v>
      </c>
      <c r="E49" s="68">
        <f>'Q4'!$D49-'Q4'!$C49</f>
        <v>0.125</v>
      </c>
      <c r="F49" s="67">
        <f t="shared" si="0"/>
        <v>45</v>
      </c>
    </row>
    <row r="50" spans="1:6" x14ac:dyDescent="0.25">
      <c r="A50" s="46" t="s">
        <v>85</v>
      </c>
      <c r="B50" s="47">
        <v>44045</v>
      </c>
      <c r="C50" s="48">
        <v>0.25</v>
      </c>
      <c r="D50" s="48">
        <v>0.5</v>
      </c>
      <c r="E50" s="69">
        <f>'Q4'!$D50-'Q4'!$C50</f>
        <v>0.25</v>
      </c>
      <c r="F50" s="67">
        <f t="shared" si="0"/>
        <v>90</v>
      </c>
    </row>
    <row r="51" spans="1:6" x14ac:dyDescent="0.25">
      <c r="A51" s="44" t="s">
        <v>86</v>
      </c>
      <c r="B51" s="45">
        <v>44045</v>
      </c>
      <c r="C51" s="49">
        <v>0.29166666666666669</v>
      </c>
      <c r="D51" s="49">
        <v>0.625</v>
      </c>
      <c r="E51" s="68">
        <f>'Q4'!$D51-'Q4'!$C51</f>
        <v>0.33333333333333331</v>
      </c>
      <c r="F51" s="67">
        <f t="shared" si="0"/>
        <v>120</v>
      </c>
    </row>
    <row r="52" spans="1:6" x14ac:dyDescent="0.25">
      <c r="A52" s="46" t="s">
        <v>87</v>
      </c>
      <c r="B52" s="47">
        <v>44045</v>
      </c>
      <c r="C52" s="48">
        <v>0.375</v>
      </c>
      <c r="D52" s="48">
        <v>0.75</v>
      </c>
      <c r="E52" s="69">
        <f>'Q4'!$D52-'Q4'!$C52</f>
        <v>0.375</v>
      </c>
      <c r="F52" s="67">
        <f t="shared" si="0"/>
        <v>135</v>
      </c>
    </row>
    <row r="53" spans="1:6" x14ac:dyDescent="0.25">
      <c r="A53" s="44" t="s">
        <v>88</v>
      </c>
      <c r="B53" s="45">
        <v>44045</v>
      </c>
      <c r="C53" s="49">
        <v>0.25</v>
      </c>
      <c r="D53" s="49">
        <v>0.5</v>
      </c>
      <c r="E53" s="68">
        <f>'Q4'!$D53-'Q4'!$C53</f>
        <v>0.25</v>
      </c>
      <c r="F53" s="67">
        <f t="shared" si="0"/>
        <v>90</v>
      </c>
    </row>
    <row r="54" spans="1:6" x14ac:dyDescent="0.25">
      <c r="A54" s="46" t="s">
        <v>89</v>
      </c>
      <c r="B54" s="47">
        <v>44045</v>
      </c>
      <c r="C54" s="48">
        <v>0.29166666666666669</v>
      </c>
      <c r="D54" s="48">
        <v>0.625</v>
      </c>
      <c r="E54" s="69">
        <f>'Q4'!$D54-'Q4'!$C54</f>
        <v>0.33333333333333331</v>
      </c>
      <c r="F54" s="67">
        <f t="shared" si="0"/>
        <v>120</v>
      </c>
    </row>
    <row r="55" spans="1:6" x14ac:dyDescent="0.25">
      <c r="A55" s="44" t="s">
        <v>90</v>
      </c>
      <c r="B55" s="45">
        <v>44045</v>
      </c>
      <c r="C55" s="49">
        <v>0.375</v>
      </c>
      <c r="D55" s="49">
        <v>0.58333333333333337</v>
      </c>
      <c r="E55" s="68">
        <f>'Q4'!$D55-'Q4'!$C55</f>
        <v>0.20833333333333337</v>
      </c>
      <c r="F55" s="67">
        <f t="shared" si="0"/>
        <v>75.000000000000014</v>
      </c>
    </row>
    <row r="56" spans="1:6" x14ac:dyDescent="0.25">
      <c r="A56" s="46" t="s">
        <v>91</v>
      </c>
      <c r="B56" s="47">
        <v>44045</v>
      </c>
      <c r="C56" s="48">
        <v>0.25</v>
      </c>
      <c r="D56" s="48">
        <v>0.66666666666666663</v>
      </c>
      <c r="E56" s="69">
        <f>'Q4'!$D56-'Q4'!$C56</f>
        <v>0.41666666666666663</v>
      </c>
      <c r="F56" s="67">
        <f t="shared" si="0"/>
        <v>150</v>
      </c>
    </row>
    <row r="57" spans="1:6" x14ac:dyDescent="0.25">
      <c r="A57" s="44" t="s">
        <v>92</v>
      </c>
      <c r="B57" s="45">
        <v>44045</v>
      </c>
      <c r="C57" s="49">
        <v>0.29166666666666669</v>
      </c>
      <c r="D57" s="49">
        <v>0.5</v>
      </c>
      <c r="E57" s="68">
        <f>'Q4'!$D57-'Q4'!$C57</f>
        <v>0.20833333333333331</v>
      </c>
      <c r="F57" s="67">
        <f t="shared" si="0"/>
        <v>75</v>
      </c>
    </row>
    <row r="58" spans="1:6" x14ac:dyDescent="0.25">
      <c r="A58" s="46" t="s">
        <v>93</v>
      </c>
      <c r="B58" s="47">
        <v>44045</v>
      </c>
      <c r="C58" s="48">
        <v>0.375</v>
      </c>
      <c r="D58" s="48">
        <v>0.58333333333333337</v>
      </c>
      <c r="E58" s="69">
        <f>'Q4'!$D58-'Q4'!$C58</f>
        <v>0.20833333333333337</v>
      </c>
      <c r="F58" s="67">
        <f t="shared" si="0"/>
        <v>75.000000000000014</v>
      </c>
    </row>
    <row r="59" spans="1:6" x14ac:dyDescent="0.25">
      <c r="A59" s="40" t="s">
        <v>94</v>
      </c>
      <c r="B59" s="50">
        <v>44045</v>
      </c>
      <c r="C59" s="51">
        <v>0.25</v>
      </c>
      <c r="D59" s="51">
        <v>0.66666666666666663</v>
      </c>
      <c r="E59" s="70">
        <f>'Q4'!$D59-'Q4'!$C59</f>
        <v>0.41666666666666663</v>
      </c>
      <c r="F59" s="67">
        <f t="shared" si="0"/>
        <v>150</v>
      </c>
    </row>
    <row r="60" spans="1:6" x14ac:dyDescent="0.25">
      <c r="C60" s="29"/>
      <c r="D60" s="28"/>
    </row>
  </sheetData>
  <protectedRanges>
    <protectedRange algorithmName="SHA-512" hashValue="5xiR2kVrrAE0O/c8Zs9Cmphc1StZl/Y4xLkeCUmrRvFBzIVhON/QA7MwxvLaBPstNDeDlAp5AbW5l63uypKZZg==" saltValue="h6NAVNz0eN6CPL3quz4bLw==" spinCount="100000" sqref="L13:N16 L18:N18" name="Range1"/>
  </protectedRanges>
  <phoneticPr fontId="9" type="noConversion"/>
  <pageMargins left="0.7" right="0.7" top="0.75" bottom="0.75" header="0.3" footer="0.3"/>
  <pageSetup orientation="portrait" r:id="rId1"/>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59C3-DB7E-49AF-85F0-EB0F7B42C354}">
  <dimension ref="A1:N32"/>
  <sheetViews>
    <sheetView workbookViewId="0">
      <selection activeCell="L9" sqref="L9"/>
    </sheetView>
  </sheetViews>
  <sheetFormatPr defaultRowHeight="15" x14ac:dyDescent="0.25"/>
  <cols>
    <col min="4" max="4" width="14.7109375" customWidth="1"/>
    <col min="5" max="5" width="9.85546875" customWidth="1"/>
    <col min="6" max="6" width="17.7109375" customWidth="1"/>
    <col min="8" max="8" width="14.28515625" customWidth="1"/>
    <col min="9" max="9" width="19.140625" customWidth="1"/>
    <col min="13" max="13" width="21" customWidth="1"/>
    <col min="14" max="14" width="11" customWidth="1"/>
  </cols>
  <sheetData>
    <row r="1" spans="1:14" x14ac:dyDescent="0.25">
      <c r="A1" t="s">
        <v>0</v>
      </c>
      <c r="B1" t="s">
        <v>125</v>
      </c>
      <c r="C1" t="s">
        <v>126</v>
      </c>
      <c r="D1" t="s">
        <v>127</v>
      </c>
      <c r="E1" t="s">
        <v>128</v>
      </c>
      <c r="F1" t="s">
        <v>129</v>
      </c>
      <c r="G1" t="s">
        <v>130</v>
      </c>
      <c r="H1" t="s">
        <v>131</v>
      </c>
      <c r="I1" t="s">
        <v>132</v>
      </c>
      <c r="J1" t="s">
        <v>133</v>
      </c>
      <c r="K1" t="s">
        <v>134</v>
      </c>
      <c r="L1" t="s">
        <v>135</v>
      </c>
      <c r="M1" t="s">
        <v>136</v>
      </c>
      <c r="N1" t="s">
        <v>1</v>
      </c>
    </row>
    <row r="2" spans="1:14" x14ac:dyDescent="0.25">
      <c r="A2" s="52">
        <v>42736</v>
      </c>
      <c r="B2" t="s">
        <v>2</v>
      </c>
      <c r="C2" t="s">
        <v>137</v>
      </c>
      <c r="D2">
        <v>27</v>
      </c>
      <c r="E2">
        <v>2</v>
      </c>
      <c r="F2" t="s">
        <v>138</v>
      </c>
      <c r="G2">
        <v>15</v>
      </c>
      <c r="H2" t="s">
        <v>139</v>
      </c>
      <c r="I2">
        <v>5</v>
      </c>
      <c r="J2">
        <v>0.3</v>
      </c>
      <c r="K2">
        <v>10</v>
      </c>
      <c r="L2">
        <v>8</v>
      </c>
      <c r="M2">
        <v>5</v>
      </c>
      <c r="N2">
        <v>3</v>
      </c>
    </row>
    <row r="3" spans="1:14" x14ac:dyDescent="0.25">
      <c r="A3" s="52">
        <v>42737</v>
      </c>
      <c r="B3" t="s">
        <v>2</v>
      </c>
      <c r="C3" t="s">
        <v>140</v>
      </c>
      <c r="D3">
        <v>28.9</v>
      </c>
      <c r="E3">
        <v>1.33</v>
      </c>
      <c r="F3" t="s">
        <v>138</v>
      </c>
      <c r="G3">
        <v>15</v>
      </c>
      <c r="H3" t="s">
        <v>139</v>
      </c>
      <c r="I3">
        <v>5</v>
      </c>
      <c r="J3">
        <v>0.3</v>
      </c>
      <c r="K3">
        <v>13</v>
      </c>
      <c r="L3">
        <v>8</v>
      </c>
      <c r="M3">
        <v>5</v>
      </c>
      <c r="N3">
        <v>3.9</v>
      </c>
    </row>
    <row r="4" spans="1:14" x14ac:dyDescent="0.25">
      <c r="A4" s="52">
        <v>42738</v>
      </c>
      <c r="B4" t="s">
        <v>2</v>
      </c>
      <c r="C4" t="s">
        <v>141</v>
      </c>
      <c r="D4">
        <v>34.5</v>
      </c>
      <c r="E4">
        <v>1.33</v>
      </c>
      <c r="F4" t="s">
        <v>138</v>
      </c>
      <c r="G4">
        <v>27</v>
      </c>
      <c r="H4" t="s">
        <v>142</v>
      </c>
      <c r="I4">
        <v>10</v>
      </c>
      <c r="J4">
        <v>0.3</v>
      </c>
      <c r="K4">
        <v>15</v>
      </c>
      <c r="L4">
        <v>8</v>
      </c>
      <c r="M4">
        <v>10</v>
      </c>
      <c r="N4">
        <v>4.5</v>
      </c>
    </row>
    <row r="5" spans="1:14" x14ac:dyDescent="0.25">
      <c r="A5" s="52">
        <v>42739</v>
      </c>
      <c r="B5" t="s">
        <v>2</v>
      </c>
      <c r="C5" t="s">
        <v>143</v>
      </c>
      <c r="D5">
        <v>44.1</v>
      </c>
      <c r="E5">
        <v>1.05</v>
      </c>
      <c r="F5" t="s">
        <v>138</v>
      </c>
      <c r="G5">
        <v>28</v>
      </c>
      <c r="H5" t="s">
        <v>142</v>
      </c>
      <c r="I5">
        <v>10</v>
      </c>
      <c r="J5">
        <v>0.3</v>
      </c>
      <c r="K5">
        <v>17</v>
      </c>
      <c r="L5">
        <v>8</v>
      </c>
      <c r="M5">
        <v>10</v>
      </c>
      <c r="N5">
        <v>5.0999999999999996</v>
      </c>
    </row>
    <row r="6" spans="1:14" x14ac:dyDescent="0.25">
      <c r="A6" s="52">
        <v>42740</v>
      </c>
      <c r="B6" t="s">
        <v>2</v>
      </c>
      <c r="C6" t="s">
        <v>144</v>
      </c>
      <c r="D6">
        <v>42.4</v>
      </c>
      <c r="E6">
        <v>1</v>
      </c>
      <c r="F6" t="s">
        <v>142</v>
      </c>
      <c r="G6">
        <v>33</v>
      </c>
      <c r="H6" t="s">
        <v>142</v>
      </c>
      <c r="I6">
        <v>10</v>
      </c>
      <c r="J6">
        <v>0.3</v>
      </c>
      <c r="K6">
        <v>18</v>
      </c>
      <c r="L6">
        <v>8</v>
      </c>
      <c r="M6">
        <v>10</v>
      </c>
      <c r="N6">
        <v>5.4</v>
      </c>
    </row>
    <row r="7" spans="1:14" x14ac:dyDescent="0.25">
      <c r="A7" s="52">
        <v>42741</v>
      </c>
      <c r="B7" t="s">
        <v>2</v>
      </c>
      <c r="C7" t="s">
        <v>145</v>
      </c>
      <c r="D7">
        <v>25.3</v>
      </c>
      <c r="E7">
        <v>1.54</v>
      </c>
      <c r="F7" t="s">
        <v>138</v>
      </c>
      <c r="G7">
        <v>23</v>
      </c>
      <c r="H7" t="s">
        <v>142</v>
      </c>
      <c r="I7">
        <v>10</v>
      </c>
      <c r="J7">
        <v>0.3</v>
      </c>
      <c r="K7">
        <v>11</v>
      </c>
      <c r="L7">
        <v>8</v>
      </c>
      <c r="M7">
        <v>10</v>
      </c>
      <c r="N7">
        <v>3.3</v>
      </c>
    </row>
    <row r="8" spans="1:14" x14ac:dyDescent="0.25">
      <c r="A8" s="52">
        <v>42742</v>
      </c>
      <c r="B8" t="s">
        <v>2</v>
      </c>
      <c r="C8" t="s">
        <v>146</v>
      </c>
      <c r="D8">
        <v>32.9</v>
      </c>
      <c r="E8">
        <v>0</v>
      </c>
      <c r="F8" t="s">
        <v>147</v>
      </c>
      <c r="G8">
        <v>19</v>
      </c>
      <c r="H8" t="s">
        <v>139</v>
      </c>
      <c r="I8">
        <v>5</v>
      </c>
      <c r="J8">
        <v>0.3</v>
      </c>
      <c r="K8">
        <v>13</v>
      </c>
      <c r="L8">
        <v>8</v>
      </c>
      <c r="M8">
        <v>5</v>
      </c>
      <c r="N8">
        <v>3.9</v>
      </c>
    </row>
    <row r="9" spans="1:14" x14ac:dyDescent="0.25">
      <c r="A9" s="52">
        <v>42743</v>
      </c>
      <c r="B9" t="s">
        <v>2</v>
      </c>
      <c r="C9" t="s">
        <v>137</v>
      </c>
      <c r="D9">
        <v>37.5</v>
      </c>
      <c r="E9">
        <v>1.18</v>
      </c>
      <c r="F9" t="s">
        <v>138</v>
      </c>
      <c r="G9">
        <v>28</v>
      </c>
      <c r="H9" t="s">
        <v>142</v>
      </c>
      <c r="I9">
        <v>10</v>
      </c>
      <c r="J9">
        <v>0.3</v>
      </c>
      <c r="K9">
        <v>15</v>
      </c>
      <c r="L9">
        <v>8</v>
      </c>
      <c r="M9">
        <v>10</v>
      </c>
      <c r="N9">
        <v>4.5</v>
      </c>
    </row>
    <row r="10" spans="1:14" x14ac:dyDescent="0.25">
      <c r="A10" s="52">
        <v>42744</v>
      </c>
      <c r="B10" t="s">
        <v>2</v>
      </c>
      <c r="C10" t="s">
        <v>140</v>
      </c>
      <c r="D10">
        <v>38.1</v>
      </c>
      <c r="E10">
        <v>1.18</v>
      </c>
      <c r="F10" t="s">
        <v>138</v>
      </c>
      <c r="G10">
        <v>20</v>
      </c>
      <c r="H10" t="s">
        <v>142</v>
      </c>
      <c r="I10">
        <v>10</v>
      </c>
      <c r="J10">
        <v>0.3</v>
      </c>
      <c r="K10">
        <v>17</v>
      </c>
      <c r="L10">
        <v>8</v>
      </c>
      <c r="M10">
        <v>10</v>
      </c>
      <c r="N10">
        <v>5.0999999999999996</v>
      </c>
    </row>
    <row r="11" spans="1:14" x14ac:dyDescent="0.25">
      <c r="A11" s="52">
        <v>42745</v>
      </c>
      <c r="B11" t="s">
        <v>2</v>
      </c>
      <c r="C11" t="s">
        <v>141</v>
      </c>
      <c r="D11">
        <v>43.4</v>
      </c>
      <c r="E11">
        <v>1.05</v>
      </c>
      <c r="F11" t="s">
        <v>138</v>
      </c>
      <c r="G11">
        <v>33</v>
      </c>
      <c r="H11" t="s">
        <v>142</v>
      </c>
      <c r="I11">
        <v>10</v>
      </c>
      <c r="J11">
        <v>0.3</v>
      </c>
      <c r="K11">
        <v>18</v>
      </c>
      <c r="L11">
        <v>8</v>
      </c>
      <c r="M11">
        <v>10</v>
      </c>
      <c r="N11">
        <v>5.4</v>
      </c>
    </row>
    <row r="12" spans="1:14" x14ac:dyDescent="0.25">
      <c r="A12" s="52">
        <v>42746</v>
      </c>
      <c r="B12" t="s">
        <v>2</v>
      </c>
      <c r="C12" t="s">
        <v>143</v>
      </c>
      <c r="D12">
        <v>32.6</v>
      </c>
      <c r="E12">
        <v>1.54</v>
      </c>
      <c r="F12" t="s">
        <v>138</v>
      </c>
      <c r="G12">
        <v>23</v>
      </c>
      <c r="H12" t="s">
        <v>142</v>
      </c>
      <c r="I12">
        <v>10</v>
      </c>
      <c r="J12">
        <v>0.3</v>
      </c>
      <c r="K12">
        <v>12</v>
      </c>
      <c r="L12">
        <v>8</v>
      </c>
      <c r="M12">
        <v>10</v>
      </c>
      <c r="N12">
        <v>3.6</v>
      </c>
    </row>
    <row r="13" spans="1:14" x14ac:dyDescent="0.25">
      <c r="A13" s="52">
        <v>42747</v>
      </c>
      <c r="B13" t="s">
        <v>2</v>
      </c>
      <c r="C13" t="s">
        <v>144</v>
      </c>
      <c r="D13">
        <v>38.200000000000003</v>
      </c>
      <c r="E13">
        <v>0</v>
      </c>
      <c r="F13" t="s">
        <v>147</v>
      </c>
      <c r="G13">
        <v>16</v>
      </c>
      <c r="H13" t="s">
        <v>139</v>
      </c>
      <c r="I13">
        <v>5</v>
      </c>
      <c r="J13">
        <v>0.3</v>
      </c>
      <c r="K13">
        <v>14</v>
      </c>
      <c r="L13">
        <v>8</v>
      </c>
      <c r="M13">
        <v>5</v>
      </c>
      <c r="N13">
        <v>4.2</v>
      </c>
    </row>
    <row r="14" spans="1:14" x14ac:dyDescent="0.25">
      <c r="A14" s="52">
        <v>42748</v>
      </c>
      <c r="B14" t="s">
        <v>2</v>
      </c>
      <c r="C14" t="s">
        <v>145</v>
      </c>
      <c r="D14">
        <v>37.5</v>
      </c>
      <c r="E14">
        <v>1.33</v>
      </c>
      <c r="F14" t="s">
        <v>138</v>
      </c>
      <c r="G14">
        <v>19</v>
      </c>
      <c r="H14" t="s">
        <v>139</v>
      </c>
      <c r="I14">
        <v>5</v>
      </c>
      <c r="J14">
        <v>0.3</v>
      </c>
      <c r="K14">
        <v>15</v>
      </c>
      <c r="L14">
        <v>8</v>
      </c>
      <c r="M14">
        <v>5</v>
      </c>
      <c r="N14">
        <v>4.5</v>
      </c>
    </row>
    <row r="15" spans="1:14" x14ac:dyDescent="0.25">
      <c r="A15" s="52">
        <v>42749</v>
      </c>
      <c r="B15" t="s">
        <v>2</v>
      </c>
      <c r="C15" t="s">
        <v>146</v>
      </c>
      <c r="D15">
        <v>44.1</v>
      </c>
      <c r="E15">
        <v>1.05</v>
      </c>
      <c r="F15" t="s">
        <v>138</v>
      </c>
      <c r="G15">
        <v>23</v>
      </c>
      <c r="H15" t="s">
        <v>142</v>
      </c>
      <c r="I15">
        <v>10</v>
      </c>
      <c r="J15">
        <v>0.3</v>
      </c>
      <c r="K15">
        <v>17</v>
      </c>
      <c r="L15">
        <v>8</v>
      </c>
      <c r="M15">
        <v>10</v>
      </c>
      <c r="N15">
        <v>5.0999999999999996</v>
      </c>
    </row>
    <row r="16" spans="1:14" x14ac:dyDescent="0.25">
      <c r="A16" s="52">
        <v>42750</v>
      </c>
      <c r="B16" t="s">
        <v>2</v>
      </c>
      <c r="C16" t="s">
        <v>137</v>
      </c>
      <c r="D16">
        <v>43.4</v>
      </c>
      <c r="E16">
        <v>0</v>
      </c>
      <c r="F16" t="s">
        <v>147</v>
      </c>
      <c r="G16">
        <v>33</v>
      </c>
      <c r="H16" t="s">
        <v>142</v>
      </c>
      <c r="I16">
        <v>10</v>
      </c>
      <c r="J16">
        <v>0.3</v>
      </c>
      <c r="K16">
        <v>18</v>
      </c>
      <c r="L16">
        <v>8</v>
      </c>
      <c r="M16">
        <v>10</v>
      </c>
      <c r="N16">
        <v>5.4</v>
      </c>
    </row>
    <row r="17" spans="1:14" x14ac:dyDescent="0.25">
      <c r="A17" s="52">
        <v>42751</v>
      </c>
      <c r="B17" t="s">
        <v>2</v>
      </c>
      <c r="C17" t="s">
        <v>140</v>
      </c>
      <c r="D17">
        <v>30.6</v>
      </c>
      <c r="E17">
        <v>1.67</v>
      </c>
      <c r="F17" t="s">
        <v>138</v>
      </c>
      <c r="G17">
        <v>24</v>
      </c>
      <c r="H17" t="s">
        <v>142</v>
      </c>
      <c r="I17">
        <v>10</v>
      </c>
      <c r="J17">
        <v>0.3</v>
      </c>
      <c r="K17">
        <v>12</v>
      </c>
      <c r="L17">
        <v>8</v>
      </c>
      <c r="M17">
        <v>10</v>
      </c>
      <c r="N17">
        <v>3.6</v>
      </c>
    </row>
    <row r="18" spans="1:14" x14ac:dyDescent="0.25">
      <c r="A18" s="52">
        <v>42752</v>
      </c>
      <c r="B18" t="s">
        <v>2</v>
      </c>
      <c r="C18" t="s">
        <v>141</v>
      </c>
      <c r="D18">
        <v>32.200000000000003</v>
      </c>
      <c r="E18">
        <v>1.43</v>
      </c>
      <c r="F18" t="s">
        <v>138</v>
      </c>
      <c r="G18">
        <v>26</v>
      </c>
      <c r="H18" t="s">
        <v>142</v>
      </c>
      <c r="I18">
        <v>10</v>
      </c>
      <c r="J18">
        <v>0.3</v>
      </c>
      <c r="K18">
        <v>14</v>
      </c>
      <c r="L18">
        <v>8</v>
      </c>
      <c r="M18">
        <v>10</v>
      </c>
      <c r="N18">
        <v>4.2</v>
      </c>
    </row>
    <row r="19" spans="1:14" x14ac:dyDescent="0.25">
      <c r="A19" s="52">
        <v>42753</v>
      </c>
      <c r="B19" t="s">
        <v>2</v>
      </c>
      <c r="C19" t="s">
        <v>143</v>
      </c>
      <c r="D19">
        <v>42.8</v>
      </c>
      <c r="E19">
        <v>1.18</v>
      </c>
      <c r="F19" t="s">
        <v>138</v>
      </c>
      <c r="G19">
        <v>33</v>
      </c>
      <c r="H19" t="s">
        <v>142</v>
      </c>
      <c r="I19">
        <v>10</v>
      </c>
      <c r="J19">
        <v>0.3</v>
      </c>
      <c r="K19">
        <v>16</v>
      </c>
      <c r="L19">
        <v>8</v>
      </c>
      <c r="M19">
        <v>10</v>
      </c>
      <c r="N19">
        <v>4.8</v>
      </c>
    </row>
    <row r="20" spans="1:14" x14ac:dyDescent="0.25">
      <c r="A20" s="52">
        <v>42754</v>
      </c>
      <c r="B20" t="s">
        <v>2</v>
      </c>
      <c r="C20" t="s">
        <v>144</v>
      </c>
      <c r="D20">
        <v>43.1</v>
      </c>
      <c r="E20">
        <v>1.18</v>
      </c>
      <c r="F20" t="s">
        <v>138</v>
      </c>
      <c r="G20">
        <v>30</v>
      </c>
      <c r="H20" t="s">
        <v>142</v>
      </c>
      <c r="I20">
        <v>10</v>
      </c>
      <c r="J20">
        <v>0.3</v>
      </c>
      <c r="K20">
        <v>17</v>
      </c>
      <c r="L20">
        <v>8</v>
      </c>
      <c r="M20">
        <v>10</v>
      </c>
      <c r="N20">
        <v>5.0999999999999996</v>
      </c>
    </row>
    <row r="21" spans="1:14" x14ac:dyDescent="0.25">
      <c r="A21" s="52">
        <v>42755</v>
      </c>
      <c r="B21" t="s">
        <v>2</v>
      </c>
      <c r="C21" t="s">
        <v>145</v>
      </c>
      <c r="D21">
        <v>31.6</v>
      </c>
      <c r="E21">
        <v>1.43</v>
      </c>
      <c r="F21" t="s">
        <v>138</v>
      </c>
      <c r="G21">
        <v>20</v>
      </c>
      <c r="H21" t="s">
        <v>142</v>
      </c>
      <c r="I21">
        <v>10</v>
      </c>
      <c r="J21">
        <v>0.3</v>
      </c>
      <c r="K21">
        <v>12</v>
      </c>
      <c r="L21">
        <v>8</v>
      </c>
      <c r="M21">
        <v>10</v>
      </c>
      <c r="N21">
        <v>3.6</v>
      </c>
    </row>
    <row r="22" spans="1:14" x14ac:dyDescent="0.25">
      <c r="A22" s="52">
        <v>42756</v>
      </c>
      <c r="B22" t="s">
        <v>2</v>
      </c>
      <c r="C22" t="s">
        <v>146</v>
      </c>
      <c r="D22">
        <v>36.200000000000003</v>
      </c>
      <c r="E22">
        <v>1.25</v>
      </c>
      <c r="F22" t="s">
        <v>138</v>
      </c>
      <c r="G22">
        <v>16</v>
      </c>
      <c r="H22" t="s">
        <v>139</v>
      </c>
      <c r="I22">
        <v>5</v>
      </c>
      <c r="J22">
        <v>0.3</v>
      </c>
      <c r="K22">
        <v>14</v>
      </c>
      <c r="L22">
        <v>8</v>
      </c>
      <c r="M22">
        <v>5</v>
      </c>
      <c r="N22">
        <v>4.2</v>
      </c>
    </row>
    <row r="23" spans="1:14" x14ac:dyDescent="0.25">
      <c r="A23" s="52">
        <v>42757</v>
      </c>
      <c r="B23" t="s">
        <v>2</v>
      </c>
      <c r="C23" t="s">
        <v>137</v>
      </c>
      <c r="D23">
        <v>40.799999999999997</v>
      </c>
      <c r="E23">
        <v>1.1100000000000001</v>
      </c>
      <c r="F23" t="s">
        <v>138</v>
      </c>
      <c r="G23">
        <v>19</v>
      </c>
      <c r="H23" t="s">
        <v>139</v>
      </c>
      <c r="I23">
        <v>5</v>
      </c>
      <c r="J23">
        <v>0.3</v>
      </c>
      <c r="K23">
        <v>16</v>
      </c>
      <c r="L23">
        <v>8</v>
      </c>
      <c r="M23">
        <v>5</v>
      </c>
      <c r="N23">
        <v>4.8</v>
      </c>
    </row>
    <row r="24" spans="1:14" x14ac:dyDescent="0.25">
      <c r="A24" s="52">
        <v>42758</v>
      </c>
      <c r="B24" t="s">
        <v>2</v>
      </c>
      <c r="C24" t="s">
        <v>140</v>
      </c>
      <c r="D24">
        <v>38.1</v>
      </c>
      <c r="E24">
        <v>1.05</v>
      </c>
      <c r="F24" t="s">
        <v>138</v>
      </c>
      <c r="G24">
        <v>21</v>
      </c>
      <c r="H24" t="s">
        <v>142</v>
      </c>
      <c r="I24">
        <v>10</v>
      </c>
      <c r="J24">
        <v>0.3</v>
      </c>
      <c r="K24">
        <v>17</v>
      </c>
      <c r="L24">
        <v>8</v>
      </c>
      <c r="M24">
        <v>10</v>
      </c>
      <c r="N24">
        <v>5.0999999999999996</v>
      </c>
    </row>
    <row r="25" spans="1:14" x14ac:dyDescent="0.25">
      <c r="A25" s="52">
        <v>42759</v>
      </c>
      <c r="B25" t="s">
        <v>2</v>
      </c>
      <c r="C25" t="s">
        <v>141</v>
      </c>
      <c r="D25">
        <v>28.6</v>
      </c>
      <c r="E25">
        <v>0</v>
      </c>
      <c r="F25" t="s">
        <v>147</v>
      </c>
      <c r="G25">
        <v>20</v>
      </c>
      <c r="H25" t="s">
        <v>142</v>
      </c>
      <c r="I25">
        <v>10</v>
      </c>
      <c r="J25">
        <v>0.3</v>
      </c>
      <c r="K25">
        <v>12</v>
      </c>
      <c r="L25">
        <v>8</v>
      </c>
      <c r="M25">
        <v>10</v>
      </c>
      <c r="N25">
        <v>3.6</v>
      </c>
    </row>
    <row r="26" spans="1:14" x14ac:dyDescent="0.25">
      <c r="A26" s="52">
        <v>42760</v>
      </c>
      <c r="B26" t="s">
        <v>2</v>
      </c>
      <c r="C26" t="s">
        <v>143</v>
      </c>
      <c r="D26">
        <v>32.200000000000003</v>
      </c>
      <c r="E26">
        <v>1.25</v>
      </c>
      <c r="F26" t="s">
        <v>138</v>
      </c>
      <c r="G26">
        <v>24</v>
      </c>
      <c r="H26" t="s">
        <v>142</v>
      </c>
      <c r="I26">
        <v>10</v>
      </c>
      <c r="J26">
        <v>0.3</v>
      </c>
      <c r="K26">
        <v>14</v>
      </c>
      <c r="L26">
        <v>8</v>
      </c>
      <c r="M26">
        <v>10</v>
      </c>
      <c r="N26">
        <v>4.2</v>
      </c>
    </row>
    <row r="27" spans="1:14" x14ac:dyDescent="0.25">
      <c r="A27" s="52">
        <v>42761</v>
      </c>
      <c r="B27" t="s">
        <v>2</v>
      </c>
      <c r="C27" t="s">
        <v>144</v>
      </c>
      <c r="D27">
        <v>35.799999999999997</v>
      </c>
      <c r="E27">
        <v>1.25</v>
      </c>
      <c r="F27" t="s">
        <v>138</v>
      </c>
      <c r="G27">
        <v>18</v>
      </c>
      <c r="H27" t="s">
        <v>139</v>
      </c>
      <c r="I27">
        <v>5</v>
      </c>
      <c r="J27">
        <v>0.3</v>
      </c>
      <c r="K27">
        <v>16</v>
      </c>
      <c r="L27">
        <v>8</v>
      </c>
      <c r="M27">
        <v>5</v>
      </c>
      <c r="N27">
        <v>4.8</v>
      </c>
    </row>
    <row r="28" spans="1:14" x14ac:dyDescent="0.25">
      <c r="A28" s="52">
        <v>42762</v>
      </c>
      <c r="B28" t="s">
        <v>2</v>
      </c>
      <c r="C28" t="s">
        <v>145</v>
      </c>
      <c r="D28">
        <v>42.1</v>
      </c>
      <c r="E28">
        <v>1.05</v>
      </c>
      <c r="F28" t="s">
        <v>138</v>
      </c>
      <c r="G28">
        <v>22</v>
      </c>
      <c r="H28" t="s">
        <v>142</v>
      </c>
      <c r="I28">
        <v>10</v>
      </c>
      <c r="J28">
        <v>0.3</v>
      </c>
      <c r="K28">
        <v>17</v>
      </c>
      <c r="L28">
        <v>8</v>
      </c>
      <c r="M28">
        <v>10</v>
      </c>
      <c r="N28">
        <v>5.0999999999999996</v>
      </c>
    </row>
    <row r="29" spans="1:14" x14ac:dyDescent="0.25">
      <c r="A29" s="52">
        <v>42763</v>
      </c>
      <c r="B29" t="s">
        <v>2</v>
      </c>
      <c r="C29" t="s">
        <v>146</v>
      </c>
      <c r="D29">
        <v>34.9</v>
      </c>
      <c r="E29">
        <v>1.33</v>
      </c>
      <c r="F29" t="s">
        <v>138</v>
      </c>
      <c r="G29">
        <v>15</v>
      </c>
      <c r="H29" t="s">
        <v>139</v>
      </c>
      <c r="I29">
        <v>5</v>
      </c>
      <c r="J29">
        <v>0.3</v>
      </c>
      <c r="K29">
        <v>13</v>
      </c>
      <c r="L29">
        <v>8</v>
      </c>
      <c r="M29">
        <v>5</v>
      </c>
      <c r="N29">
        <v>3.9</v>
      </c>
    </row>
    <row r="30" spans="1:14" x14ac:dyDescent="0.25">
      <c r="A30" s="52">
        <v>42764</v>
      </c>
      <c r="B30" t="s">
        <v>2</v>
      </c>
      <c r="C30" t="s">
        <v>137</v>
      </c>
      <c r="D30">
        <v>35.200000000000003</v>
      </c>
      <c r="E30">
        <v>0</v>
      </c>
      <c r="F30" t="s">
        <v>147</v>
      </c>
      <c r="G30">
        <v>27</v>
      </c>
      <c r="H30" t="s">
        <v>142</v>
      </c>
      <c r="I30">
        <v>10</v>
      </c>
      <c r="J30">
        <v>0.3</v>
      </c>
      <c r="K30">
        <v>14</v>
      </c>
      <c r="L30">
        <v>8</v>
      </c>
      <c r="M30">
        <v>10</v>
      </c>
      <c r="N30">
        <v>4.2</v>
      </c>
    </row>
    <row r="31" spans="1:14" x14ac:dyDescent="0.25">
      <c r="A31" s="52">
        <v>42765</v>
      </c>
      <c r="B31" t="s">
        <v>2</v>
      </c>
      <c r="C31" t="s">
        <v>140</v>
      </c>
      <c r="D31">
        <v>41.1</v>
      </c>
      <c r="E31">
        <v>1.05</v>
      </c>
      <c r="F31" t="s">
        <v>138</v>
      </c>
      <c r="G31">
        <v>20</v>
      </c>
      <c r="H31" t="s">
        <v>142</v>
      </c>
      <c r="I31">
        <v>10</v>
      </c>
      <c r="J31">
        <v>0.3</v>
      </c>
      <c r="K31">
        <v>17</v>
      </c>
      <c r="L31">
        <v>8</v>
      </c>
      <c r="M31">
        <v>10</v>
      </c>
      <c r="N31">
        <v>5.0999999999999996</v>
      </c>
    </row>
    <row r="32" spans="1:14" x14ac:dyDescent="0.25">
      <c r="A32" s="52">
        <v>42766</v>
      </c>
      <c r="B32" t="s">
        <v>2</v>
      </c>
      <c r="C32" t="s">
        <v>141</v>
      </c>
      <c r="D32">
        <v>40.4</v>
      </c>
      <c r="E32">
        <v>1.05</v>
      </c>
      <c r="F32" t="s">
        <v>138</v>
      </c>
      <c r="G32">
        <v>37</v>
      </c>
      <c r="H32" t="s">
        <v>142</v>
      </c>
      <c r="I32">
        <v>10</v>
      </c>
      <c r="J32">
        <v>0.3</v>
      </c>
      <c r="K32">
        <v>18</v>
      </c>
      <c r="L32">
        <v>8</v>
      </c>
      <c r="M32">
        <v>10</v>
      </c>
      <c r="N32">
        <v>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7661-F919-4638-9E30-F8F85F09778F}">
  <dimension ref="B3:M63"/>
  <sheetViews>
    <sheetView topLeftCell="A45" workbookViewId="0">
      <selection activeCell="D62" sqref="D62"/>
    </sheetView>
  </sheetViews>
  <sheetFormatPr defaultRowHeight="15" x14ac:dyDescent="0.25"/>
  <cols>
    <col min="2" max="2" width="15.7109375" bestFit="1" customWidth="1"/>
    <col min="3" max="3" width="15.5703125" bestFit="1" customWidth="1"/>
    <col min="4" max="4" width="24" bestFit="1" customWidth="1"/>
    <col min="5" max="5" width="15.140625" bestFit="1" customWidth="1"/>
    <col min="6" max="6" width="15.28515625" bestFit="1" customWidth="1"/>
    <col min="7" max="7" width="24" bestFit="1" customWidth="1"/>
    <col min="11" max="11" width="13.140625" bestFit="1" customWidth="1"/>
    <col min="12" max="12" width="19" bestFit="1" customWidth="1"/>
    <col min="13" max="13" width="16.5703125" bestFit="1" customWidth="1"/>
    <col min="14" max="14" width="26" bestFit="1" customWidth="1"/>
    <col min="15" max="59" width="16.28515625" bestFit="1" customWidth="1"/>
    <col min="60" max="60" width="11.28515625" bestFit="1" customWidth="1"/>
  </cols>
  <sheetData>
    <row r="3" spans="2:13" ht="18.75" x14ac:dyDescent="0.3">
      <c r="B3" s="58" t="s">
        <v>163</v>
      </c>
    </row>
    <row r="4" spans="2:13" ht="18.75" x14ac:dyDescent="0.3">
      <c r="K4" s="58" t="s">
        <v>173</v>
      </c>
    </row>
    <row r="7" spans="2:13" x14ac:dyDescent="0.25">
      <c r="K7" s="54" t="s">
        <v>160</v>
      </c>
      <c r="L7" t="s">
        <v>164</v>
      </c>
      <c r="M7" t="s">
        <v>179</v>
      </c>
    </row>
    <row r="8" spans="2:13" x14ac:dyDescent="0.25">
      <c r="K8" s="55" t="s">
        <v>2</v>
      </c>
      <c r="L8" s="53">
        <v>138.59999999999997</v>
      </c>
      <c r="M8" s="53">
        <v>248</v>
      </c>
    </row>
    <row r="9" spans="2:13" x14ac:dyDescent="0.25">
      <c r="K9" s="55" t="s">
        <v>148</v>
      </c>
      <c r="L9" s="53">
        <v>167.1</v>
      </c>
      <c r="M9" s="53">
        <v>224</v>
      </c>
    </row>
    <row r="10" spans="2:13" x14ac:dyDescent="0.25">
      <c r="K10" s="55" t="s">
        <v>150</v>
      </c>
      <c r="L10" s="53">
        <v>222.6</v>
      </c>
      <c r="M10" s="53">
        <v>248</v>
      </c>
    </row>
    <row r="11" spans="2:13" x14ac:dyDescent="0.25">
      <c r="K11" s="55" t="s">
        <v>151</v>
      </c>
      <c r="L11" s="53">
        <v>235.79999999999998</v>
      </c>
      <c r="M11" s="53">
        <v>240</v>
      </c>
    </row>
    <row r="12" spans="2:13" x14ac:dyDescent="0.25">
      <c r="K12" s="55" t="s">
        <v>152</v>
      </c>
      <c r="L12" s="53">
        <v>274.5</v>
      </c>
      <c r="M12" s="53">
        <v>248</v>
      </c>
    </row>
    <row r="13" spans="2:13" x14ac:dyDescent="0.25">
      <c r="K13" s="55" t="s">
        <v>153</v>
      </c>
      <c r="L13" s="53">
        <v>316.80000000000007</v>
      </c>
      <c r="M13" s="53">
        <v>240</v>
      </c>
    </row>
    <row r="14" spans="2:13" x14ac:dyDescent="0.25">
      <c r="K14" s="55" t="s">
        <v>154</v>
      </c>
      <c r="L14" s="53">
        <v>556.5</v>
      </c>
      <c r="M14" s="53">
        <v>248</v>
      </c>
    </row>
    <row r="15" spans="2:13" x14ac:dyDescent="0.25">
      <c r="K15" s="55" t="s">
        <v>155</v>
      </c>
      <c r="L15" s="53">
        <v>470.5</v>
      </c>
      <c r="M15" s="53">
        <v>248</v>
      </c>
    </row>
    <row r="16" spans="2:13" x14ac:dyDescent="0.25">
      <c r="K16" s="55" t="s">
        <v>156</v>
      </c>
      <c r="L16" s="53">
        <v>357.00000000000006</v>
      </c>
      <c r="M16" s="53">
        <v>352</v>
      </c>
    </row>
    <row r="17" spans="2:13" x14ac:dyDescent="0.25">
      <c r="K17" s="55" t="s">
        <v>157</v>
      </c>
      <c r="L17" s="53">
        <v>281.09999999999991</v>
      </c>
      <c r="M17" s="53">
        <v>304</v>
      </c>
    </row>
    <row r="18" spans="2:13" x14ac:dyDescent="0.25">
      <c r="K18" s="55" t="s">
        <v>158</v>
      </c>
      <c r="L18" s="53">
        <v>196.49999999999997</v>
      </c>
      <c r="M18" s="53">
        <v>248</v>
      </c>
    </row>
    <row r="19" spans="2:13" x14ac:dyDescent="0.25">
      <c r="K19" s="55" t="s">
        <v>159</v>
      </c>
      <c r="L19" s="53">
        <v>138.60000000000002</v>
      </c>
      <c r="M19" s="53">
        <v>248</v>
      </c>
    </row>
    <row r="20" spans="2:13" x14ac:dyDescent="0.25">
      <c r="K20" s="55" t="s">
        <v>161</v>
      </c>
      <c r="L20" s="53">
        <v>3355.6</v>
      </c>
      <c r="M20" s="53">
        <v>3096</v>
      </c>
    </row>
    <row r="23" spans="2:13" ht="18.75" x14ac:dyDescent="0.3">
      <c r="B23" s="58" t="s">
        <v>166</v>
      </c>
      <c r="G23" s="58" t="s">
        <v>167</v>
      </c>
    </row>
    <row r="25" spans="2:13" x14ac:dyDescent="0.25">
      <c r="B25" s="54" t="s">
        <v>160</v>
      </c>
      <c r="C25" t="s">
        <v>164</v>
      </c>
      <c r="D25" t="s">
        <v>162</v>
      </c>
      <c r="E25" t="s">
        <v>165</v>
      </c>
    </row>
    <row r="26" spans="2:13" x14ac:dyDescent="0.25">
      <c r="B26" s="55" t="s">
        <v>2</v>
      </c>
      <c r="C26" s="53">
        <v>138.59999999999997</v>
      </c>
      <c r="D26" s="53">
        <v>248</v>
      </c>
      <c r="E26" s="53">
        <v>265</v>
      </c>
    </row>
    <row r="27" spans="2:13" x14ac:dyDescent="0.25">
      <c r="B27" s="55" t="s">
        <v>148</v>
      </c>
      <c r="C27" s="53">
        <v>167.1</v>
      </c>
      <c r="D27" s="53">
        <v>224</v>
      </c>
      <c r="E27" s="53">
        <v>295</v>
      </c>
    </row>
    <row r="28" spans="2:13" x14ac:dyDescent="0.25">
      <c r="B28" s="55" t="s">
        <v>150</v>
      </c>
      <c r="C28" s="53">
        <v>222.6</v>
      </c>
      <c r="D28" s="53">
        <v>248</v>
      </c>
      <c r="E28" s="53">
        <v>360</v>
      </c>
    </row>
    <row r="29" spans="2:13" x14ac:dyDescent="0.25">
      <c r="B29" s="55" t="s">
        <v>151</v>
      </c>
      <c r="C29" s="53">
        <v>235.79999999999998</v>
      </c>
      <c r="D29" s="53">
        <v>240</v>
      </c>
      <c r="E29" s="53">
        <v>520</v>
      </c>
    </row>
    <row r="30" spans="2:13" x14ac:dyDescent="0.25">
      <c r="B30" s="55" t="s">
        <v>152</v>
      </c>
      <c r="C30" s="53">
        <v>274.5</v>
      </c>
      <c r="D30" s="53">
        <v>248</v>
      </c>
      <c r="E30" s="53">
        <v>730</v>
      </c>
    </row>
    <row r="31" spans="2:13" x14ac:dyDescent="0.25">
      <c r="B31" s="55" t="s">
        <v>153</v>
      </c>
      <c r="C31" s="53">
        <v>316.80000000000007</v>
      </c>
      <c r="D31" s="53">
        <v>240</v>
      </c>
      <c r="E31" s="53">
        <v>735</v>
      </c>
    </row>
    <row r="32" spans="2:13" x14ac:dyDescent="0.25">
      <c r="B32" s="55" t="s">
        <v>154</v>
      </c>
      <c r="C32" s="53">
        <v>556.5</v>
      </c>
      <c r="D32" s="53">
        <v>248</v>
      </c>
      <c r="E32" s="53">
        <v>755</v>
      </c>
    </row>
    <row r="33" spans="2:6" x14ac:dyDescent="0.25">
      <c r="B33" s="55" t="s">
        <v>155</v>
      </c>
      <c r="C33" s="53">
        <v>470.5</v>
      </c>
      <c r="D33" s="53">
        <v>248</v>
      </c>
      <c r="E33" s="53">
        <v>750</v>
      </c>
    </row>
    <row r="34" spans="2:6" x14ac:dyDescent="0.25">
      <c r="B34" s="55" t="s">
        <v>156</v>
      </c>
      <c r="C34" s="53">
        <v>357.00000000000006</v>
      </c>
      <c r="D34" s="53">
        <v>352</v>
      </c>
      <c r="E34" s="53">
        <v>830</v>
      </c>
    </row>
    <row r="35" spans="2:6" x14ac:dyDescent="0.25">
      <c r="B35" s="55" t="s">
        <v>157</v>
      </c>
      <c r="C35" s="53">
        <v>281.09999999999991</v>
      </c>
      <c r="D35" s="53">
        <v>304</v>
      </c>
      <c r="E35" s="53">
        <v>465</v>
      </c>
    </row>
    <row r="36" spans="2:6" x14ac:dyDescent="0.25">
      <c r="B36" s="55" t="s">
        <v>158</v>
      </c>
      <c r="C36" s="53">
        <v>196.49999999999997</v>
      </c>
      <c r="D36" s="53">
        <v>248</v>
      </c>
      <c r="E36" s="53">
        <v>350</v>
      </c>
    </row>
    <row r="37" spans="2:6" x14ac:dyDescent="0.25">
      <c r="B37" s="55" t="s">
        <v>159</v>
      </c>
      <c r="C37" s="53">
        <v>138.60000000000002</v>
      </c>
      <c r="D37" s="53">
        <v>248</v>
      </c>
      <c r="E37" s="53">
        <v>260</v>
      </c>
    </row>
    <row r="38" spans="2:6" x14ac:dyDescent="0.25">
      <c r="B38" s="55" t="s">
        <v>161</v>
      </c>
      <c r="C38" s="53">
        <v>3355.6</v>
      </c>
      <c r="D38" s="53">
        <v>3096</v>
      </c>
      <c r="E38" s="53">
        <v>6315</v>
      </c>
    </row>
    <row r="40" spans="2:6" ht="18.75" x14ac:dyDescent="0.3">
      <c r="B40" s="58" t="s">
        <v>170</v>
      </c>
      <c r="E40" s="58" t="s">
        <v>171</v>
      </c>
    </row>
    <row r="41" spans="2:6" x14ac:dyDescent="0.25">
      <c r="B41" s="54" t="s">
        <v>125</v>
      </c>
      <c r="C41" t="s">
        <v>168</v>
      </c>
      <c r="E41" s="54" t="s">
        <v>125</v>
      </c>
      <c r="F41" t="s">
        <v>169</v>
      </c>
    </row>
    <row r="42" spans="2:6" x14ac:dyDescent="0.25">
      <c r="B42" s="55" t="s">
        <v>154</v>
      </c>
      <c r="C42" s="53">
        <v>21.5</v>
      </c>
      <c r="E42" s="55" t="s">
        <v>159</v>
      </c>
      <c r="F42" s="53">
        <v>2.1</v>
      </c>
    </row>
    <row r="43" spans="2:6" x14ac:dyDescent="0.25">
      <c r="B43" s="56" t="s">
        <v>137</v>
      </c>
      <c r="C43" s="53">
        <v>19</v>
      </c>
      <c r="E43" s="56" t="s">
        <v>137</v>
      </c>
      <c r="F43" s="53">
        <v>2.1</v>
      </c>
    </row>
    <row r="44" spans="2:6" x14ac:dyDescent="0.25">
      <c r="B44" s="56" t="s">
        <v>140</v>
      </c>
      <c r="C44" s="53">
        <v>20</v>
      </c>
      <c r="E44" s="56" t="s">
        <v>140</v>
      </c>
      <c r="F44" s="53">
        <v>3.9</v>
      </c>
    </row>
    <row r="45" spans="2:6" x14ac:dyDescent="0.25">
      <c r="B45" s="56" t="s">
        <v>141</v>
      </c>
      <c r="C45" s="53">
        <v>20.5</v>
      </c>
      <c r="E45" s="56" t="s">
        <v>141</v>
      </c>
      <c r="F45" s="53">
        <v>3</v>
      </c>
    </row>
    <row r="46" spans="2:6" x14ac:dyDescent="0.25">
      <c r="B46" s="56" t="s">
        <v>143</v>
      </c>
      <c r="C46" s="53">
        <v>18</v>
      </c>
      <c r="E46" s="56" t="s">
        <v>143</v>
      </c>
      <c r="F46" s="53">
        <v>4.2</v>
      </c>
    </row>
    <row r="47" spans="2:6" x14ac:dyDescent="0.25">
      <c r="B47" s="56" t="s">
        <v>144</v>
      </c>
      <c r="C47" s="53">
        <v>21.5</v>
      </c>
      <c r="E47" s="56" t="s">
        <v>144</v>
      </c>
      <c r="F47" s="53">
        <v>3.9</v>
      </c>
    </row>
    <row r="48" spans="2:6" x14ac:dyDescent="0.25">
      <c r="B48" s="56" t="s">
        <v>145</v>
      </c>
      <c r="C48" s="53">
        <v>20</v>
      </c>
      <c r="E48" s="56" t="s">
        <v>145</v>
      </c>
      <c r="F48" s="53">
        <v>3.9</v>
      </c>
    </row>
    <row r="49" spans="2:6" x14ac:dyDescent="0.25">
      <c r="B49" s="56" t="s">
        <v>146</v>
      </c>
      <c r="C49" s="53">
        <v>21.5</v>
      </c>
      <c r="E49" s="56" t="s">
        <v>146</v>
      </c>
      <c r="F49" s="53">
        <v>3.9</v>
      </c>
    </row>
    <row r="50" spans="2:6" x14ac:dyDescent="0.25">
      <c r="B50" s="55" t="s">
        <v>161</v>
      </c>
      <c r="C50" s="53">
        <v>21.5</v>
      </c>
      <c r="E50" s="55" t="s">
        <v>161</v>
      </c>
      <c r="F50" s="53">
        <v>2.1</v>
      </c>
    </row>
    <row r="52" spans="2:6" ht="18.75" x14ac:dyDescent="0.3">
      <c r="B52" s="58" t="s">
        <v>172</v>
      </c>
    </row>
    <row r="54" spans="2:6" x14ac:dyDescent="0.25">
      <c r="B54" s="54" t="s">
        <v>129</v>
      </c>
      <c r="C54" t="s">
        <v>138</v>
      </c>
    </row>
    <row r="56" spans="2:6" x14ac:dyDescent="0.25">
      <c r="B56" s="54" t="s">
        <v>125</v>
      </c>
      <c r="C56" t="s">
        <v>180</v>
      </c>
    </row>
    <row r="57" spans="2:6" x14ac:dyDescent="0.25">
      <c r="B57" s="55" t="s">
        <v>2</v>
      </c>
      <c r="C57" s="53">
        <v>111.89999999999999</v>
      </c>
    </row>
    <row r="58" spans="2:6" x14ac:dyDescent="0.25">
      <c r="B58" s="55" t="s">
        <v>148</v>
      </c>
      <c r="C58" s="53">
        <v>16.5</v>
      </c>
    </row>
    <row r="59" spans="2:6" x14ac:dyDescent="0.25">
      <c r="B59" s="55" t="s">
        <v>152</v>
      </c>
      <c r="C59" s="53">
        <v>8.6999999999999993</v>
      </c>
    </row>
    <row r="60" spans="2:6" x14ac:dyDescent="0.25">
      <c r="B60" s="55" t="s">
        <v>155</v>
      </c>
      <c r="C60" s="53">
        <v>15</v>
      </c>
    </row>
    <row r="61" spans="2:6" x14ac:dyDescent="0.25">
      <c r="B61" s="55" t="s">
        <v>158</v>
      </c>
      <c r="C61" s="53">
        <v>22.8</v>
      </c>
    </row>
    <row r="62" spans="2:6" x14ac:dyDescent="0.25">
      <c r="B62" s="55" t="s">
        <v>159</v>
      </c>
      <c r="C62" s="53">
        <v>57.599999999999994</v>
      </c>
    </row>
    <row r="63" spans="2:6" x14ac:dyDescent="0.25">
      <c r="B63" s="55" t="s">
        <v>161</v>
      </c>
      <c r="C63" s="53">
        <v>232.49999999999997</v>
      </c>
    </row>
  </sheetData>
  <conditionalFormatting pivot="1" sqref="L8:L19">
    <cfRule type="colorScale" priority="5">
      <colorScale>
        <cfvo type="min"/>
        <cfvo type="percentile" val="50"/>
        <cfvo type="max"/>
        <color rgb="FFF8696B"/>
        <color rgb="FFFCFCFF"/>
        <color rgb="FF5A8AC6"/>
      </colorScale>
    </cfRule>
  </conditionalFormatting>
  <conditionalFormatting pivot="1" sqref="C26:C37">
    <cfRule type="colorScale" priority="4">
      <colorScale>
        <cfvo type="min"/>
        <cfvo type="percentile" val="50"/>
        <cfvo type="max"/>
        <color rgb="FFF8696B"/>
        <color rgb="FFFCFCFF"/>
        <color rgb="FF5A8AC6"/>
      </colorScale>
    </cfRule>
  </conditionalFormatting>
  <conditionalFormatting pivot="1" sqref="E26:E37">
    <cfRule type="iconSet" priority="2">
      <iconSet>
        <cfvo type="percent" val="0"/>
        <cfvo type="num" val="400"/>
        <cfvo type="num" val="600"/>
      </iconSet>
    </cfRule>
  </conditionalFormatting>
  <pageMargins left="0.7" right="0.7" top="0.75" bottom="0.75" header="0.3" footer="0.3"/>
  <pageSetup orientation="portrait" r:id="rId6"/>
  <drawing r:id="rId7"/>
  <extLst>
    <ext xmlns:x15="http://schemas.microsoft.com/office/spreadsheetml/2010/11/main" uri="{3A4CF648-6AED-40f4-86FF-DC5316D8AED3}">
      <x14:slicerList xmlns:x14="http://schemas.microsoft.com/office/spreadsheetml/2009/9/main">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A74E63-D071-469A-B664-DFDEBB3934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Q1</vt:lpstr>
      <vt:lpstr>Q2</vt:lpstr>
      <vt:lpstr>Q3</vt:lpstr>
      <vt:lpstr>Charts</vt:lpstr>
      <vt:lpstr>Q4</vt:lpstr>
      <vt:lpstr>Sheet1</vt:lpstr>
      <vt:lpstr>Q1_Answers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KC</dc:creator>
  <cp:lastModifiedBy>Hafiz Khurram Javid</cp:lastModifiedBy>
  <dcterms:created xsi:type="dcterms:W3CDTF">2020-10-05T10:09:28Z</dcterms:created>
  <dcterms:modified xsi:type="dcterms:W3CDTF">2021-11-12T17:21:40Z</dcterms:modified>
</cp:coreProperties>
</file>